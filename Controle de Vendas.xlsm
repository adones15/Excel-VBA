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ones\Documents\Projetos\Controle_de_vendas_vba\Projeto\"/>
    </mc:Choice>
  </mc:AlternateContent>
  <xr:revisionPtr revIDLastSave="0" documentId="13_ncr:1_{A77BB316-6582-44A3-9F48-A69DA317D7C4}" xr6:coauthVersionLast="46" xr6:coauthVersionMax="46" xr10:uidLastSave="{00000000-0000-0000-0000-000000000000}"/>
  <bookViews>
    <workbookView xWindow="-120" yWindow="-120" windowWidth="20730" windowHeight="11160" tabRatio="999" xr2:uid="{08C0E88E-D79C-441B-BCDF-E984652D5300}"/>
  </bookViews>
  <sheets>
    <sheet name="Menu" sheetId="11" r:id="rId1"/>
    <sheet name="Dashboard" sheetId="1" r:id="rId2"/>
    <sheet name="Nova dinâmica" sheetId="16" r:id="rId3"/>
    <sheet name="Entrada" sheetId="6" r:id="rId4"/>
    <sheet name="Saida" sheetId="7" r:id="rId5"/>
    <sheet name="Cadastro_venda" sheetId="12" r:id="rId6"/>
    <sheet name="Cadprodut" sheetId="15" r:id="rId7"/>
    <sheet name="Ent_Estoque" sheetId="8" r:id="rId8"/>
    <sheet name="Sai_Estoque" sheetId="9" r:id="rId9"/>
    <sheet name="Cadastro_Produto" sheetId="14" r:id="rId10"/>
    <sheet name="Estoque" sheetId="3" r:id="rId11"/>
    <sheet name="Base_Vendas" sheetId="13" r:id="rId12"/>
  </sheets>
  <definedNames>
    <definedName name="_xlcn.WorksheetConnection_teste_venda2.xlsmTabela31" hidden="1">Tabela3[]</definedName>
    <definedName name="_xlcn.WorksheetConnection_teste_venda2.xlsmTabela41" hidden="1">Tabela4[]</definedName>
    <definedName name="_xlcn.WorksheetConnection_teste_venda2.xlsmTabela51" hidden="1">Tabela5[]</definedName>
    <definedName name="SegmentaçãodeDados_Canal_vendas">#N/A</definedName>
    <definedName name="SegmentaçãodeDados_Data__Mês">#N/A</definedName>
    <definedName name="SegmentaçãodeDados_Forma_de_pgto">#N/A</definedName>
    <definedName name="SegmentaçãodeDados_Produto">#N/A</definedName>
  </definedNames>
  <calcPr calcId="18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  <pivotCache cacheId="7" r:id="rId20"/>
    <pivotCache cacheId="8" r:id="rId21"/>
    <pivotCache cacheId="9" r:id="rId22"/>
    <pivotCache cacheId="10" r:id="rId23"/>
    <pivotCache cacheId="11" r:id="rId24"/>
    <pivotCache cacheId="12" r:id="rId25"/>
    <pivotCache cacheId="13" r:id="rId26"/>
    <pivotCache cacheId="14" r:id="rId27"/>
    <pivotCache cacheId="15" r:id="rId28"/>
  </pivotCaches>
  <extLst>
    <ext xmlns:x14="http://schemas.microsoft.com/office/spreadsheetml/2009/9/main" uri="{876F7934-8845-4945-9796-88D515C7AA90}">
      <x14:pivotCaches>
        <pivotCache cacheId="16" r:id="rId29"/>
      </x14:pivotCaches>
    </ext>
    <ext xmlns:x14="http://schemas.microsoft.com/office/spreadsheetml/2009/9/main" uri="{BBE1A952-AA13-448e-AADC-164F8A28A991}">
      <x14:slicerCaches>
        <x14:slicerCache r:id="rId30"/>
        <x14:slicerCache r:id="rId31"/>
        <x14:slicerCache r:id="rId32"/>
        <x14:slicerCache r:id="rId3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5" name="Tabela5" connection="WorksheetConnection_teste_venda 2.xlsm!Tabela5"/>
          <x15:modelTable id="Tabela4" name="Tabela4" connection="WorksheetConnection_teste_venda 2.xlsm!Tabela4"/>
          <x15:modelTable id="Tabela3" name="Tabela3" connection="WorksheetConnection_teste_venda 2.xlsm!Tabela3"/>
        </x15:modelTables>
        <x15:modelRelationships>
          <x15:modelRelationship fromTable="Tabela3" fromColumn="Código" toTable="Tabela5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abela3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F7" i="9" l="1"/>
  <c r="F7" i="13"/>
  <c r="G7" i="13"/>
  <c r="H7" i="13" s="1"/>
  <c r="I7" i="13" s="1"/>
  <c r="F6" i="9"/>
  <c r="F6" i="13"/>
  <c r="G6" i="13"/>
  <c r="H6" i="13" s="1"/>
  <c r="F5" i="9"/>
  <c r="F5" i="13"/>
  <c r="G5" i="13"/>
  <c r="H5" i="13" s="1"/>
  <c r="F4" i="9"/>
  <c r="F4" i="13"/>
  <c r="G4" i="13"/>
  <c r="H4" i="13" s="1"/>
  <c r="I4" i="13" s="1"/>
  <c r="F3" i="9"/>
  <c r="F3" i="13"/>
  <c r="G3" i="13"/>
  <c r="H3" i="13" s="1"/>
  <c r="F8" i="9"/>
  <c r="F3" i="8"/>
  <c r="C3" i="3"/>
  <c r="D3" i="3"/>
  <c r="E3" i="3"/>
  <c r="F13" i="9"/>
  <c r="F12" i="13"/>
  <c r="G12" i="13"/>
  <c r="H12" i="13" s="1"/>
  <c r="F12" i="9"/>
  <c r="F11" i="13"/>
  <c r="G11" i="13"/>
  <c r="H11" i="13" s="1"/>
  <c r="F11" i="9"/>
  <c r="F10" i="13"/>
  <c r="G10" i="13"/>
  <c r="H10" i="13" s="1"/>
  <c r="F10" i="9"/>
  <c r="F9" i="13"/>
  <c r="G9" i="13"/>
  <c r="H9" i="13" s="1"/>
  <c r="F9" i="9"/>
  <c r="F8" i="13"/>
  <c r="G8" i="13"/>
  <c r="H8" i="13" s="1"/>
  <c r="F18" i="9"/>
  <c r="F17" i="13"/>
  <c r="G17" i="13"/>
  <c r="H17" i="13" s="1"/>
  <c r="F17" i="9"/>
  <c r="F16" i="13"/>
  <c r="G16" i="13"/>
  <c r="H16" i="13" s="1"/>
  <c r="F16" i="9"/>
  <c r="F15" i="13"/>
  <c r="G15" i="13"/>
  <c r="H15" i="13" s="1"/>
  <c r="F15" i="9"/>
  <c r="F14" i="13"/>
  <c r="G14" i="13"/>
  <c r="H14" i="13" s="1"/>
  <c r="F14" i="9"/>
  <c r="F13" i="13"/>
  <c r="G13" i="13"/>
  <c r="H13" i="13" s="1"/>
  <c r="F23" i="9"/>
  <c r="F22" i="13"/>
  <c r="G22" i="13"/>
  <c r="H22" i="13" s="1"/>
  <c r="F22" i="9"/>
  <c r="F21" i="13"/>
  <c r="G21" i="13"/>
  <c r="H21" i="13" s="1"/>
  <c r="F21" i="9"/>
  <c r="F20" i="13"/>
  <c r="G20" i="13"/>
  <c r="H20" i="13" s="1"/>
  <c r="F20" i="9"/>
  <c r="F19" i="13"/>
  <c r="G19" i="13"/>
  <c r="H19" i="13" s="1"/>
  <c r="F19" i="9"/>
  <c r="F18" i="13"/>
  <c r="G18" i="13"/>
  <c r="H18" i="13" s="1"/>
  <c r="F28" i="9"/>
  <c r="F27" i="13"/>
  <c r="G27" i="13"/>
  <c r="H27" i="13" s="1"/>
  <c r="F27" i="9"/>
  <c r="F26" i="13"/>
  <c r="G26" i="13"/>
  <c r="H26" i="13" s="1"/>
  <c r="F26" i="9"/>
  <c r="F25" i="13"/>
  <c r="G25" i="13"/>
  <c r="H25" i="13" s="1"/>
  <c r="F25" i="9"/>
  <c r="F24" i="13"/>
  <c r="G24" i="13"/>
  <c r="H24" i="13" s="1"/>
  <c r="F24" i="9"/>
  <c r="F23" i="13"/>
  <c r="G23" i="13"/>
  <c r="H23" i="13" s="1"/>
  <c r="F29" i="9"/>
  <c r="F4" i="8"/>
  <c r="F5" i="8"/>
  <c r="F30" i="9"/>
  <c r="F35" i="9"/>
  <c r="F32" i="13"/>
  <c r="G32" i="13"/>
  <c r="H32" i="13" s="1"/>
  <c r="F34" i="9"/>
  <c r="F31" i="13"/>
  <c r="G31" i="13"/>
  <c r="H31" i="13" s="1"/>
  <c r="F33" i="9"/>
  <c r="F30" i="13"/>
  <c r="G30" i="13"/>
  <c r="H30" i="13" s="1"/>
  <c r="F32" i="9"/>
  <c r="F29" i="13"/>
  <c r="G29" i="13"/>
  <c r="H29" i="13" s="1"/>
  <c r="F31" i="9"/>
  <c r="F28" i="13"/>
  <c r="G28" i="13"/>
  <c r="H28" i="13" s="1"/>
  <c r="F40" i="9"/>
  <c r="F37" i="13"/>
  <c r="G37" i="13"/>
  <c r="H37" i="13" s="1"/>
  <c r="F39" i="9"/>
  <c r="F36" i="13"/>
  <c r="G36" i="13"/>
  <c r="H36" i="13" s="1"/>
  <c r="F38" i="9"/>
  <c r="F35" i="13"/>
  <c r="G35" i="13"/>
  <c r="H35" i="13" s="1"/>
  <c r="F37" i="9"/>
  <c r="F34" i="13"/>
  <c r="G34" i="13"/>
  <c r="H34" i="13" s="1"/>
  <c r="F36" i="9"/>
  <c r="F33" i="13"/>
  <c r="G33" i="13"/>
  <c r="H33" i="13" s="1"/>
  <c r="F45" i="9"/>
  <c r="F42" i="13"/>
  <c r="G42" i="13"/>
  <c r="H42" i="13" s="1"/>
  <c r="F44" i="9"/>
  <c r="F41" i="13"/>
  <c r="G41" i="13"/>
  <c r="H41" i="13" s="1"/>
  <c r="F43" i="9"/>
  <c r="F40" i="13"/>
  <c r="G40" i="13"/>
  <c r="H40" i="13" s="1"/>
  <c r="F42" i="9"/>
  <c r="F39" i="13"/>
  <c r="G39" i="13"/>
  <c r="H39" i="13" s="1"/>
  <c r="F41" i="9"/>
  <c r="F38" i="13"/>
  <c r="G38" i="13"/>
  <c r="H38" i="13" s="1"/>
  <c r="F50" i="9"/>
  <c r="F47" i="13"/>
  <c r="G47" i="13"/>
  <c r="H47" i="13" s="1"/>
  <c r="F49" i="9"/>
  <c r="F46" i="13"/>
  <c r="G46" i="13"/>
  <c r="H46" i="13" s="1"/>
  <c r="F48" i="9"/>
  <c r="F45" i="13"/>
  <c r="G45" i="13"/>
  <c r="H45" i="13" s="1"/>
  <c r="F47" i="9"/>
  <c r="F44" i="13"/>
  <c r="G44" i="13"/>
  <c r="H44" i="13" s="1"/>
  <c r="F46" i="9"/>
  <c r="F43" i="13"/>
  <c r="G43" i="13"/>
  <c r="H43" i="13" s="1"/>
  <c r="F55" i="9"/>
  <c r="F52" i="13"/>
  <c r="G52" i="13"/>
  <c r="H52" i="13" s="1"/>
  <c r="F54" i="9"/>
  <c r="F51" i="13"/>
  <c r="G51" i="13"/>
  <c r="H51" i="13" s="1"/>
  <c r="F53" i="9"/>
  <c r="F50" i="13"/>
  <c r="G50" i="13"/>
  <c r="H50" i="13" s="1"/>
  <c r="F52" i="9"/>
  <c r="F49" i="13"/>
  <c r="G49" i="13"/>
  <c r="H49" i="13" s="1"/>
  <c r="F51" i="9"/>
  <c r="F48" i="13"/>
  <c r="G48" i="13"/>
  <c r="H48" i="13" s="1"/>
  <c r="F60" i="9"/>
  <c r="F57" i="13"/>
  <c r="G57" i="13"/>
  <c r="H57" i="13" s="1"/>
  <c r="F59" i="9"/>
  <c r="F56" i="13"/>
  <c r="G56" i="13"/>
  <c r="H56" i="13" s="1"/>
  <c r="F58" i="9"/>
  <c r="F55" i="13"/>
  <c r="G55" i="13"/>
  <c r="H55" i="13" s="1"/>
  <c r="F57" i="9"/>
  <c r="F54" i="13"/>
  <c r="G54" i="13"/>
  <c r="H54" i="13" s="1"/>
  <c r="F56" i="9"/>
  <c r="F53" i="13"/>
  <c r="G53" i="13"/>
  <c r="H53" i="13" s="1"/>
  <c r="F62" i="13"/>
  <c r="G62" i="13"/>
  <c r="H62" i="13" s="1"/>
  <c r="F61" i="13"/>
  <c r="G61" i="13"/>
  <c r="H61" i="13" s="1"/>
  <c r="F60" i="13"/>
  <c r="G60" i="13"/>
  <c r="H60" i="13" s="1"/>
  <c r="F62" i="9"/>
  <c r="F59" i="13"/>
  <c r="G59" i="13"/>
  <c r="H59" i="13" s="1"/>
  <c r="F61" i="9"/>
  <c r="F58" i="13"/>
  <c r="G58" i="13"/>
  <c r="H58" i="13" s="1"/>
  <c r="F67" i="9"/>
  <c r="F67" i="13"/>
  <c r="G67" i="13"/>
  <c r="H67" i="13" s="1"/>
  <c r="F66" i="9"/>
  <c r="F66" i="13"/>
  <c r="G66" i="13"/>
  <c r="H66" i="13" s="1"/>
  <c r="F65" i="9"/>
  <c r="F65" i="13"/>
  <c r="G65" i="13"/>
  <c r="H65" i="13" s="1"/>
  <c r="F64" i="9"/>
  <c r="F64" i="13"/>
  <c r="G64" i="13"/>
  <c r="H64" i="13" s="1"/>
  <c r="F63" i="9"/>
  <c r="F63" i="13"/>
  <c r="G63" i="13"/>
  <c r="H63" i="13" s="1"/>
  <c r="F72" i="9"/>
  <c r="F72" i="13"/>
  <c r="G72" i="13"/>
  <c r="H72" i="13" s="1"/>
  <c r="F71" i="9"/>
  <c r="F71" i="13"/>
  <c r="G71" i="13"/>
  <c r="H71" i="13" s="1"/>
  <c r="F70" i="9"/>
  <c r="F70" i="13"/>
  <c r="G70" i="13"/>
  <c r="H70" i="13" s="1"/>
  <c r="F69" i="9"/>
  <c r="F69" i="13"/>
  <c r="G69" i="13"/>
  <c r="H69" i="13" s="1"/>
  <c r="F68" i="9"/>
  <c r="F68" i="13"/>
  <c r="G68" i="13"/>
  <c r="H68" i="13" s="1"/>
  <c r="F77" i="9"/>
  <c r="F77" i="13"/>
  <c r="G77" i="13"/>
  <c r="H77" i="13" s="1"/>
  <c r="F76" i="9"/>
  <c r="F76" i="13"/>
  <c r="G76" i="13"/>
  <c r="H76" i="13" s="1"/>
  <c r="F75" i="9"/>
  <c r="F75" i="13"/>
  <c r="G75" i="13"/>
  <c r="H75" i="13" s="1"/>
  <c r="F74" i="9"/>
  <c r="F74" i="13"/>
  <c r="G74" i="13"/>
  <c r="H74" i="13" s="1"/>
  <c r="F73" i="9"/>
  <c r="F73" i="13"/>
  <c r="G73" i="13"/>
  <c r="H73" i="13" s="1"/>
  <c r="F82" i="9"/>
  <c r="F82" i="13"/>
  <c r="G82" i="13"/>
  <c r="H82" i="13" s="1"/>
  <c r="F81" i="9"/>
  <c r="F81" i="13"/>
  <c r="G81" i="13"/>
  <c r="H81" i="13" s="1"/>
  <c r="F80" i="9"/>
  <c r="F80" i="13"/>
  <c r="G80" i="13"/>
  <c r="H80" i="13" s="1"/>
  <c r="F79" i="9"/>
  <c r="F79" i="13"/>
  <c r="G79" i="13"/>
  <c r="H79" i="13" s="1"/>
  <c r="F78" i="9"/>
  <c r="F78" i="13"/>
  <c r="G78" i="13"/>
  <c r="H78" i="13" s="1"/>
  <c r="F83" i="9"/>
  <c r="F84" i="9"/>
  <c r="F6" i="8"/>
  <c r="E5" i="12"/>
  <c r="F89" i="9"/>
  <c r="F87" i="13"/>
  <c r="G87" i="13"/>
  <c r="H87" i="13" s="1"/>
  <c r="F88" i="9"/>
  <c r="F86" i="13"/>
  <c r="G86" i="13"/>
  <c r="H86" i="13" s="1"/>
  <c r="F87" i="9"/>
  <c r="F85" i="13"/>
  <c r="G85" i="13"/>
  <c r="H85" i="13" s="1"/>
  <c r="F86" i="9"/>
  <c r="F84" i="13"/>
  <c r="G84" i="13"/>
  <c r="H84" i="13" s="1"/>
  <c r="F85" i="9"/>
  <c r="F83" i="13"/>
  <c r="G83" i="13"/>
  <c r="H83" i="13" s="1"/>
  <c r="F94" i="9"/>
  <c r="F92" i="13"/>
  <c r="G92" i="13"/>
  <c r="H92" i="13" s="1"/>
  <c r="F93" i="9"/>
  <c r="F91" i="13"/>
  <c r="G91" i="13"/>
  <c r="H91" i="13" s="1"/>
  <c r="F92" i="9"/>
  <c r="F90" i="13"/>
  <c r="G90" i="13"/>
  <c r="H90" i="13" s="1"/>
  <c r="F91" i="9"/>
  <c r="F89" i="13"/>
  <c r="G89" i="13"/>
  <c r="H89" i="13" s="1"/>
  <c r="F90" i="9"/>
  <c r="F88" i="13"/>
  <c r="G88" i="13"/>
  <c r="H88" i="13" s="1"/>
  <c r="F99" i="9"/>
  <c r="F97" i="13"/>
  <c r="G97" i="13"/>
  <c r="H97" i="13" s="1"/>
  <c r="F98" i="9"/>
  <c r="F96" i="13"/>
  <c r="G96" i="13"/>
  <c r="H96" i="13" s="1"/>
  <c r="F97" i="9"/>
  <c r="F95" i="13"/>
  <c r="G95" i="13"/>
  <c r="H95" i="13" s="1"/>
  <c r="F96" i="9"/>
  <c r="F94" i="13"/>
  <c r="G94" i="13"/>
  <c r="H94" i="13" s="1"/>
  <c r="F95" i="9"/>
  <c r="F93" i="13"/>
  <c r="G93" i="13"/>
  <c r="H93" i="13" s="1"/>
  <c r="F7" i="8"/>
  <c r="F104" i="9"/>
  <c r="F102" i="13"/>
  <c r="G102" i="13"/>
  <c r="H102" i="13" s="1"/>
  <c r="F103" i="9"/>
  <c r="F101" i="13"/>
  <c r="G101" i="13"/>
  <c r="H101" i="13" s="1"/>
  <c r="F102" i="9"/>
  <c r="F100" i="13"/>
  <c r="G100" i="13"/>
  <c r="H100" i="13" s="1"/>
  <c r="F101" i="9"/>
  <c r="F99" i="13"/>
  <c r="G99" i="13"/>
  <c r="H99" i="13" s="1"/>
  <c r="F100" i="9"/>
  <c r="F98" i="13"/>
  <c r="G98" i="13"/>
  <c r="H98" i="13" s="1"/>
  <c r="F109" i="9"/>
  <c r="F107" i="13"/>
  <c r="G107" i="13"/>
  <c r="H107" i="13" s="1"/>
  <c r="F108" i="9"/>
  <c r="F106" i="13"/>
  <c r="G106" i="13"/>
  <c r="H106" i="13" s="1"/>
  <c r="F107" i="9"/>
  <c r="F105" i="13"/>
  <c r="G105" i="13"/>
  <c r="H105" i="13" s="1"/>
  <c r="F106" i="9"/>
  <c r="F104" i="13"/>
  <c r="G104" i="13"/>
  <c r="H104" i="13" s="1"/>
  <c r="F105" i="9"/>
  <c r="F103" i="13"/>
  <c r="G103" i="13"/>
  <c r="H103" i="13" s="1"/>
  <c r="F114" i="9"/>
  <c r="F112" i="13"/>
  <c r="G112" i="13"/>
  <c r="H112" i="13" s="1"/>
  <c r="F113" i="9"/>
  <c r="F111" i="13"/>
  <c r="G111" i="13"/>
  <c r="H111" i="13" s="1"/>
  <c r="F112" i="9"/>
  <c r="F110" i="13"/>
  <c r="G110" i="13"/>
  <c r="H110" i="13" s="1"/>
  <c r="F111" i="9"/>
  <c r="F109" i="13"/>
  <c r="G109" i="13"/>
  <c r="H109" i="13" s="1"/>
  <c r="F110" i="9"/>
  <c r="F108" i="13"/>
  <c r="G108" i="13"/>
  <c r="H108" i="13" s="1"/>
  <c r="F119" i="9"/>
  <c r="F117" i="13"/>
  <c r="G117" i="13"/>
  <c r="H117" i="13" s="1"/>
  <c r="F118" i="9"/>
  <c r="F116" i="13"/>
  <c r="G116" i="13"/>
  <c r="H116" i="13" s="1"/>
  <c r="F117" i="9"/>
  <c r="F115" i="13"/>
  <c r="G115" i="13"/>
  <c r="H115" i="13" s="1"/>
  <c r="F116" i="9"/>
  <c r="F114" i="13"/>
  <c r="G114" i="13"/>
  <c r="H114" i="13" s="1"/>
  <c r="F115" i="9"/>
  <c r="F113" i="13"/>
  <c r="G113" i="13"/>
  <c r="H113" i="13" s="1"/>
  <c r="F124" i="9"/>
  <c r="F122" i="13"/>
  <c r="G122" i="13"/>
  <c r="H122" i="13" s="1"/>
  <c r="F123" i="9"/>
  <c r="F121" i="13"/>
  <c r="G121" i="13"/>
  <c r="H121" i="13" s="1"/>
  <c r="F122" i="9"/>
  <c r="F120" i="13"/>
  <c r="G120" i="13"/>
  <c r="H120" i="13" s="1"/>
  <c r="F121" i="9"/>
  <c r="F119" i="13"/>
  <c r="G119" i="13"/>
  <c r="H119" i="13" s="1"/>
  <c r="F120" i="9"/>
  <c r="F118" i="13"/>
  <c r="G118" i="13"/>
  <c r="H118" i="13" s="1"/>
  <c r="F129" i="9"/>
  <c r="F127" i="13"/>
  <c r="G127" i="13"/>
  <c r="H127" i="13" s="1"/>
  <c r="F128" i="9"/>
  <c r="F126" i="13"/>
  <c r="G126" i="13"/>
  <c r="H126" i="13" s="1"/>
  <c r="F127" i="9"/>
  <c r="F125" i="13"/>
  <c r="G125" i="13"/>
  <c r="H125" i="13" s="1"/>
  <c r="F126" i="9"/>
  <c r="F124" i="13"/>
  <c r="G124" i="13"/>
  <c r="H124" i="13" s="1"/>
  <c r="F125" i="9"/>
  <c r="F123" i="13"/>
  <c r="G123" i="13"/>
  <c r="H123" i="13" s="1"/>
  <c r="F134" i="9"/>
  <c r="F132" i="13"/>
  <c r="G132" i="13"/>
  <c r="H132" i="13" s="1"/>
  <c r="F133" i="9"/>
  <c r="F131" i="13"/>
  <c r="G131" i="13"/>
  <c r="H131" i="13" s="1"/>
  <c r="F132" i="9"/>
  <c r="F130" i="13"/>
  <c r="G130" i="13"/>
  <c r="H130" i="13" s="1"/>
  <c r="F131" i="9"/>
  <c r="F129" i="13"/>
  <c r="G129" i="13"/>
  <c r="H129" i="13" s="1"/>
  <c r="F130" i="9"/>
  <c r="F128" i="13"/>
  <c r="G128" i="13"/>
  <c r="H128" i="13" s="1"/>
  <c r="F139" i="9"/>
  <c r="F137" i="13"/>
  <c r="G137" i="13"/>
  <c r="H137" i="13" s="1"/>
  <c r="F138" i="9"/>
  <c r="F136" i="13"/>
  <c r="G136" i="13"/>
  <c r="H136" i="13" s="1"/>
  <c r="F137" i="9"/>
  <c r="F135" i="13"/>
  <c r="G135" i="13"/>
  <c r="H135" i="13" s="1"/>
  <c r="F136" i="9"/>
  <c r="F134" i="13"/>
  <c r="G134" i="13"/>
  <c r="H134" i="13" s="1"/>
  <c r="F135" i="9"/>
  <c r="F133" i="13"/>
  <c r="G133" i="13"/>
  <c r="H133" i="13" s="1"/>
  <c r="T8" i="12"/>
  <c r="T9" i="12"/>
  <c r="T7" i="12"/>
  <c r="F144" i="9"/>
  <c r="F142" i="13"/>
  <c r="G142" i="13"/>
  <c r="H142" i="13" s="1"/>
  <c r="F143" i="9"/>
  <c r="F141" i="13"/>
  <c r="G141" i="13"/>
  <c r="H141" i="13" s="1"/>
  <c r="F142" i="9"/>
  <c r="F140" i="13"/>
  <c r="G140" i="13"/>
  <c r="H140" i="13" s="1"/>
  <c r="F141" i="9"/>
  <c r="F139" i="13"/>
  <c r="G139" i="13"/>
  <c r="H139" i="13" s="1"/>
  <c r="F140" i="9"/>
  <c r="F138" i="13"/>
  <c r="G138" i="13"/>
  <c r="H138" i="13" s="1"/>
  <c r="F149" i="9"/>
  <c r="F147" i="13"/>
  <c r="G147" i="13"/>
  <c r="H147" i="13" s="1"/>
  <c r="F148" i="9"/>
  <c r="F146" i="13"/>
  <c r="G146" i="13"/>
  <c r="H146" i="13" s="1"/>
  <c r="F147" i="9"/>
  <c r="F145" i="13"/>
  <c r="G145" i="13"/>
  <c r="H145" i="13" s="1"/>
  <c r="F146" i="9"/>
  <c r="F144" i="13"/>
  <c r="G144" i="13"/>
  <c r="H144" i="13" s="1"/>
  <c r="F145" i="9"/>
  <c r="F143" i="13"/>
  <c r="G143" i="13"/>
  <c r="H143" i="13" s="1"/>
  <c r="U9" i="12"/>
  <c r="V9" i="12" s="1"/>
  <c r="U8" i="12"/>
  <c r="V8" i="12" s="1"/>
  <c r="U7" i="12"/>
  <c r="V7" i="12" s="1"/>
  <c r="F154" i="9"/>
  <c r="F153" i="9"/>
  <c r="F152" i="9"/>
  <c r="F151" i="9"/>
  <c r="F150" i="9"/>
  <c r="F159" i="9"/>
  <c r="F158" i="9"/>
  <c r="F157" i="9"/>
  <c r="F156" i="9"/>
  <c r="F155" i="9"/>
  <c r="F164" i="9"/>
  <c r="F163" i="9"/>
  <c r="F162" i="9"/>
  <c r="F161" i="9"/>
  <c r="F160" i="9"/>
  <c r="W9" i="12"/>
  <c r="X9" i="12" s="1"/>
  <c r="W8" i="12"/>
  <c r="X8" i="12" s="1"/>
  <c r="W7" i="12"/>
  <c r="X7" i="12" s="1"/>
  <c r="W6" i="12"/>
  <c r="X6" i="12" s="1"/>
  <c r="W5" i="12"/>
  <c r="X5" i="12" s="1"/>
  <c r="U5" i="12"/>
  <c r="V5" i="12" s="1"/>
  <c r="F169" i="9"/>
  <c r="F168" i="9"/>
  <c r="F167" i="9"/>
  <c r="F166" i="9"/>
  <c r="F165" i="9"/>
  <c r="F174" i="9"/>
  <c r="F173" i="9"/>
  <c r="F172" i="9"/>
  <c r="F171" i="9"/>
  <c r="F170" i="9"/>
  <c r="EI8" i="1"/>
  <c r="D25" i="1" s="1"/>
  <c r="F179" i="9"/>
  <c r="F178" i="9"/>
  <c r="F177" i="9"/>
  <c r="F176" i="9"/>
  <c r="F175" i="9"/>
  <c r="F184" i="9"/>
  <c r="F183" i="9"/>
  <c r="F182" i="9"/>
  <c r="F181" i="9"/>
  <c r="F180" i="9"/>
  <c r="F189" i="9"/>
  <c r="F188" i="9"/>
  <c r="F187" i="9"/>
  <c r="F186" i="9"/>
  <c r="F185" i="9"/>
  <c r="F194" i="9"/>
  <c r="F193" i="9"/>
  <c r="F192" i="9"/>
  <c r="F191" i="9"/>
  <c r="F190" i="9"/>
  <c r="F199" i="9"/>
  <c r="F198" i="9"/>
  <c r="F197" i="9"/>
  <c r="F196" i="9"/>
  <c r="F195" i="9"/>
  <c r="E4" i="3"/>
  <c r="E5" i="3"/>
  <c r="E6" i="3"/>
  <c r="E7" i="3"/>
  <c r="E8" i="3"/>
  <c r="E9" i="3"/>
  <c r="E10" i="3"/>
  <c r="E11" i="3"/>
  <c r="E12" i="3"/>
  <c r="E13" i="3"/>
  <c r="E14" i="3"/>
  <c r="F204" i="9"/>
  <c r="F203" i="9"/>
  <c r="F202" i="9"/>
  <c r="F201" i="9"/>
  <c r="F200" i="9"/>
  <c r="F209" i="9"/>
  <c r="F208" i="9"/>
  <c r="F207" i="9"/>
  <c r="F206" i="9"/>
  <c r="F205" i="9"/>
  <c r="F214" i="9"/>
  <c r="F213" i="9"/>
  <c r="F212" i="9"/>
  <c r="F211" i="9"/>
  <c r="F210" i="9"/>
  <c r="F219" i="9"/>
  <c r="F218" i="9"/>
  <c r="F217" i="9"/>
  <c r="F216" i="9"/>
  <c r="F215" i="9"/>
  <c r="F224" i="9"/>
  <c r="F223" i="9"/>
  <c r="F222" i="9"/>
  <c r="F221" i="9"/>
  <c r="F220" i="9"/>
  <c r="F229" i="9"/>
  <c r="F228" i="9"/>
  <c r="F227" i="9"/>
  <c r="F226" i="9"/>
  <c r="F225" i="9"/>
  <c r="F234" i="9"/>
  <c r="F233" i="9"/>
  <c r="F232" i="9"/>
  <c r="F231" i="9"/>
  <c r="F230" i="9"/>
  <c r="F239" i="9"/>
  <c r="F238" i="9"/>
  <c r="F237" i="9"/>
  <c r="F236" i="9"/>
  <c r="F235" i="9"/>
  <c r="F244" i="9"/>
  <c r="F243" i="9"/>
  <c r="F242" i="9"/>
  <c r="F241" i="9"/>
  <c r="F240" i="9"/>
  <c r="F249" i="9"/>
  <c r="F248" i="9"/>
  <c r="F247" i="9"/>
  <c r="F246" i="9"/>
  <c r="F245" i="9"/>
  <c r="F254" i="9"/>
  <c r="F253" i="9"/>
  <c r="F252" i="9"/>
  <c r="F251" i="9"/>
  <c r="F250" i="9"/>
  <c r="F259" i="9"/>
  <c r="F258" i="9"/>
  <c r="F257" i="9"/>
  <c r="F256" i="9"/>
  <c r="F255" i="9"/>
  <c r="F264" i="9"/>
  <c r="F263" i="9"/>
  <c r="F262" i="9"/>
  <c r="F261" i="9"/>
  <c r="F260" i="9"/>
  <c r="F269" i="9"/>
  <c r="F268" i="9"/>
  <c r="F267" i="9"/>
  <c r="F266" i="9"/>
  <c r="F265" i="9"/>
  <c r="F274" i="9"/>
  <c r="F273" i="9"/>
  <c r="F272" i="9"/>
  <c r="F271" i="9"/>
  <c r="F270" i="9"/>
  <c r="F279" i="9"/>
  <c r="F278" i="9"/>
  <c r="F277" i="9"/>
  <c r="F276" i="9"/>
  <c r="F275" i="9"/>
  <c r="F284" i="9"/>
  <c r="F283" i="9"/>
  <c r="F282" i="9"/>
  <c r="F281" i="9"/>
  <c r="F280" i="9"/>
  <c r="F289" i="9"/>
  <c r="F288" i="9"/>
  <c r="F287" i="9"/>
  <c r="F286" i="9"/>
  <c r="F285" i="9"/>
  <c r="F294" i="9"/>
  <c r="F293" i="9"/>
  <c r="F292" i="9"/>
  <c r="F291" i="9"/>
  <c r="F290" i="9"/>
  <c r="F299" i="9"/>
  <c r="F298" i="9"/>
  <c r="F297" i="9"/>
  <c r="F296" i="9"/>
  <c r="F295" i="9"/>
  <c r="F304" i="9"/>
  <c r="F303" i="9"/>
  <c r="F302" i="9"/>
  <c r="F301" i="9"/>
  <c r="F300" i="9"/>
  <c r="F309" i="9"/>
  <c r="F308" i="9"/>
  <c r="F307" i="9"/>
  <c r="F306" i="9"/>
  <c r="F305" i="9"/>
  <c r="D8" i="12"/>
  <c r="F314" i="9"/>
  <c r="F313" i="9"/>
  <c r="F312" i="9"/>
  <c r="F311" i="9"/>
  <c r="F310" i="9"/>
  <c r="F319" i="9"/>
  <c r="F318" i="9"/>
  <c r="F317" i="9"/>
  <c r="F316" i="9"/>
  <c r="F315" i="9"/>
  <c r="F5" i="6"/>
  <c r="F8" i="8"/>
  <c r="F324" i="9"/>
  <c r="F323" i="9"/>
  <c r="F322" i="9"/>
  <c r="F321" i="9"/>
  <c r="F320" i="9"/>
  <c r="F5" i="7"/>
  <c r="F329" i="9"/>
  <c r="F328" i="9"/>
  <c r="F327" i="9"/>
  <c r="F326" i="9"/>
  <c r="F325" i="9"/>
  <c r="F334" i="9"/>
  <c r="F333" i="9"/>
  <c r="F332" i="9"/>
  <c r="F331" i="9"/>
  <c r="F330" i="9"/>
  <c r="F339" i="9"/>
  <c r="F338" i="9"/>
  <c r="F337" i="9"/>
  <c r="F336" i="9"/>
  <c r="F335" i="9"/>
  <c r="F344" i="9"/>
  <c r="F343" i="9"/>
  <c r="F342" i="9"/>
  <c r="F341" i="9"/>
  <c r="F340" i="9"/>
  <c r="F349" i="9"/>
  <c r="F348" i="9"/>
  <c r="F347" i="9"/>
  <c r="F346" i="9"/>
  <c r="F345" i="9"/>
  <c r="F354" i="9"/>
  <c r="F353" i="9"/>
  <c r="F352" i="9"/>
  <c r="F351" i="9"/>
  <c r="F350" i="9"/>
  <c r="F359" i="9"/>
  <c r="F358" i="9"/>
  <c r="F357" i="9"/>
  <c r="F356" i="9"/>
  <c r="F355" i="9"/>
  <c r="F364" i="9"/>
  <c r="F363" i="9"/>
  <c r="F362" i="9"/>
  <c r="F361" i="9"/>
  <c r="F360" i="9"/>
  <c r="F369" i="9"/>
  <c r="F368" i="9"/>
  <c r="F367" i="9"/>
  <c r="F366" i="9"/>
  <c r="F365" i="9"/>
  <c r="F374" i="9"/>
  <c r="F373" i="9"/>
  <c r="F372" i="9"/>
  <c r="F371" i="9"/>
  <c r="F370" i="9"/>
  <c r="F379" i="9"/>
  <c r="F378" i="9"/>
  <c r="F377" i="9"/>
  <c r="F376" i="9"/>
  <c r="F375" i="9"/>
  <c r="F384" i="9"/>
  <c r="F383" i="9"/>
  <c r="F382" i="9"/>
  <c r="F381" i="9"/>
  <c r="F380" i="9"/>
  <c r="F389" i="9"/>
  <c r="F388" i="9"/>
  <c r="F387" i="9"/>
  <c r="F386" i="9"/>
  <c r="F385" i="9"/>
  <c r="F394" i="9"/>
  <c r="F393" i="9"/>
  <c r="F392" i="9"/>
  <c r="F391" i="9"/>
  <c r="F390" i="9"/>
  <c r="F399" i="9"/>
  <c r="F398" i="9"/>
  <c r="F397" i="9"/>
  <c r="F396" i="9"/>
  <c r="F395" i="9"/>
  <c r="F404" i="9"/>
  <c r="F403" i="9"/>
  <c r="F402" i="9"/>
  <c r="F401" i="9"/>
  <c r="F400" i="9"/>
  <c r="F409" i="9"/>
  <c r="F408" i="9"/>
  <c r="F407" i="9"/>
  <c r="F406" i="9"/>
  <c r="F405" i="9"/>
  <c r="F414" i="9"/>
  <c r="F413" i="9"/>
  <c r="F412" i="9"/>
  <c r="F411" i="9"/>
  <c r="F410" i="9"/>
  <c r="F419" i="9"/>
  <c r="F418" i="9"/>
  <c r="F417" i="9"/>
  <c r="F416" i="9"/>
  <c r="F415" i="9"/>
  <c r="F424" i="9"/>
  <c r="F423" i="9"/>
  <c r="F422" i="9"/>
  <c r="F421" i="9"/>
  <c r="F420" i="9"/>
  <c r="F429" i="9"/>
  <c r="F428" i="9"/>
  <c r="F427" i="9"/>
  <c r="F426" i="9"/>
  <c r="F425" i="9"/>
  <c r="F434" i="9"/>
  <c r="F433" i="9"/>
  <c r="F432" i="9"/>
  <c r="F431" i="9"/>
  <c r="F430" i="9"/>
  <c r="F439" i="9"/>
  <c r="F438" i="9"/>
  <c r="F437" i="9"/>
  <c r="F436" i="9"/>
  <c r="F435" i="9"/>
  <c r="F444" i="9"/>
  <c r="F443" i="9"/>
  <c r="F442" i="9"/>
  <c r="F441" i="9"/>
  <c r="F440" i="9"/>
  <c r="F449" i="9"/>
  <c r="F448" i="9"/>
  <c r="F447" i="9"/>
  <c r="F446" i="9"/>
  <c r="F445" i="9"/>
  <c r="F454" i="9"/>
  <c r="F453" i="9"/>
  <c r="F452" i="9"/>
  <c r="F451" i="9"/>
  <c r="F450" i="9"/>
  <c r="F459" i="9"/>
  <c r="F458" i="9"/>
  <c r="F457" i="9"/>
  <c r="F456" i="9"/>
  <c r="F455" i="9"/>
  <c r="F464" i="9"/>
  <c r="F463" i="9"/>
  <c r="F462" i="9"/>
  <c r="F461" i="9"/>
  <c r="F460" i="9"/>
  <c r="F469" i="9"/>
  <c r="F468" i="9"/>
  <c r="F467" i="9"/>
  <c r="F466" i="9"/>
  <c r="F465" i="9"/>
  <c r="F470" i="9"/>
  <c r="F9" i="8"/>
  <c r="F10" i="8"/>
  <c r="F11" i="8"/>
  <c r="F12" i="8"/>
  <c r="F13" i="8"/>
  <c r="F14" i="8"/>
  <c r="F15" i="8"/>
  <c r="F16" i="8"/>
  <c r="F17" i="8"/>
  <c r="F18" i="8"/>
  <c r="F471" i="9"/>
  <c r="C4" i="3"/>
  <c r="D4" i="3"/>
  <c r="F19" i="8"/>
  <c r="F20" i="8"/>
  <c r="F21" i="8"/>
  <c r="F22" i="8"/>
  <c r="F23" i="8"/>
  <c r="F24" i="8"/>
  <c r="F25" i="8"/>
  <c r="F26" i="8"/>
  <c r="F27" i="8"/>
  <c r="C10" i="3"/>
  <c r="C11" i="3"/>
  <c r="C12" i="3"/>
  <c r="C13" i="3"/>
  <c r="C6" i="3"/>
  <c r="C7" i="3"/>
  <c r="C8" i="3"/>
  <c r="C9" i="3"/>
  <c r="C14" i="3"/>
  <c r="T6" i="12"/>
  <c r="U6" i="12" s="1"/>
  <c r="V6" i="12" s="1"/>
  <c r="T5" i="12"/>
  <c r="H6" i="12"/>
  <c r="H7" i="12"/>
  <c r="H8" i="12"/>
  <c r="H9" i="12"/>
  <c r="H5" i="12"/>
  <c r="F7" i="7"/>
  <c r="F7" i="6"/>
  <c r="C5" i="3"/>
  <c r="EI9" i="1"/>
  <c r="EI3" i="1"/>
  <c r="EI2" i="1"/>
  <c r="EI4" i="1"/>
  <c r="EI7" i="1"/>
  <c r="EI5" i="1"/>
  <c r="I6" i="13" l="1"/>
  <c r="I5" i="13"/>
  <c r="I3" i="13"/>
  <c r="G3" i="3"/>
  <c r="F3" i="3" s="1"/>
  <c r="I12" i="13"/>
  <c r="I11" i="13"/>
  <c r="I10" i="13"/>
  <c r="I9" i="13"/>
  <c r="I8" i="13"/>
  <c r="D29" i="1"/>
  <c r="D21" i="1"/>
  <c r="D9" i="1"/>
  <c r="D13" i="1"/>
  <c r="I17" i="13"/>
  <c r="I16" i="13"/>
  <c r="I15" i="13"/>
  <c r="I14" i="13"/>
  <c r="I19" i="13"/>
  <c r="I13" i="13"/>
  <c r="I22" i="13"/>
  <c r="I21" i="13"/>
  <c r="I20" i="13"/>
  <c r="I18" i="13"/>
  <c r="I27" i="13"/>
  <c r="I26" i="13"/>
  <c r="I25" i="13"/>
  <c r="I24" i="13"/>
  <c r="I23" i="13"/>
  <c r="I32" i="13"/>
  <c r="I31" i="13"/>
  <c r="I30" i="13"/>
  <c r="I29" i="13"/>
  <c r="I28" i="13"/>
  <c r="I37" i="13"/>
  <c r="I42" i="13"/>
  <c r="I36" i="13"/>
  <c r="I35" i="13"/>
  <c r="I40" i="13"/>
  <c r="I34" i="13"/>
  <c r="I33" i="13"/>
  <c r="I41" i="13"/>
  <c r="I39" i="13"/>
  <c r="I38" i="13"/>
  <c r="I47" i="13"/>
  <c r="I45" i="13"/>
  <c r="I46" i="13"/>
  <c r="I44" i="13"/>
  <c r="I43" i="13"/>
  <c r="I52" i="13"/>
  <c r="I51" i="13"/>
  <c r="I50" i="13"/>
  <c r="I55" i="13"/>
  <c r="I49" i="13"/>
  <c r="I48" i="13"/>
  <c r="I57" i="13"/>
  <c r="I56" i="13"/>
  <c r="I54" i="13"/>
  <c r="I53" i="13"/>
  <c r="I62" i="13"/>
  <c r="I61" i="13"/>
  <c r="I60" i="13"/>
  <c r="I59" i="13"/>
  <c r="I58" i="13"/>
  <c r="I67" i="13"/>
  <c r="I65" i="13"/>
  <c r="I66" i="13"/>
  <c r="I63" i="13"/>
  <c r="I64" i="13"/>
  <c r="I70" i="13"/>
  <c r="I72" i="13"/>
  <c r="I69" i="13"/>
  <c r="I71" i="13"/>
  <c r="I84" i="13"/>
  <c r="I68" i="13"/>
  <c r="I77" i="13"/>
  <c r="I76" i="13"/>
  <c r="I75" i="13"/>
  <c r="I74" i="13"/>
  <c r="I73" i="13"/>
  <c r="I80" i="13"/>
  <c r="I82" i="13"/>
  <c r="I81" i="13"/>
  <c r="I79" i="13"/>
  <c r="I78" i="13"/>
  <c r="I87" i="13"/>
  <c r="I86" i="13"/>
  <c r="I85" i="13"/>
  <c r="I91" i="13"/>
  <c r="I83" i="13"/>
  <c r="I92" i="13"/>
  <c r="I90" i="13"/>
  <c r="I89" i="13"/>
  <c r="I88" i="13"/>
  <c r="I97" i="13"/>
  <c r="I96" i="13"/>
  <c r="I95" i="13"/>
  <c r="I94" i="13"/>
  <c r="I93" i="13"/>
  <c r="I102" i="13"/>
  <c r="I101" i="13"/>
  <c r="I100" i="13"/>
  <c r="I105" i="13"/>
  <c r="I99" i="13"/>
  <c r="I107" i="13"/>
  <c r="I98" i="13"/>
  <c r="I112" i="13"/>
  <c r="I106" i="13"/>
  <c r="I104" i="13"/>
  <c r="I103" i="13"/>
  <c r="I109" i="13"/>
  <c r="I111" i="13"/>
  <c r="I114" i="13"/>
  <c r="I108" i="13"/>
  <c r="I110" i="13"/>
  <c r="I117" i="13"/>
  <c r="I113" i="13"/>
  <c r="I116" i="13"/>
  <c r="I115" i="13"/>
  <c r="I127" i="13"/>
  <c r="I122" i="13"/>
  <c r="I121" i="13"/>
  <c r="I120" i="13"/>
  <c r="I126" i="13"/>
  <c r="I125" i="13"/>
  <c r="I119" i="13"/>
  <c r="I118" i="13"/>
  <c r="I132" i="13"/>
  <c r="I124" i="13"/>
  <c r="I129" i="13"/>
  <c r="I123" i="13"/>
  <c r="I131" i="13"/>
  <c r="I130" i="13"/>
  <c r="I128" i="13"/>
  <c r="I137" i="13"/>
  <c r="I134" i="13"/>
  <c r="I136" i="13"/>
  <c r="I135" i="13"/>
  <c r="I133" i="13"/>
  <c r="I142" i="13"/>
  <c r="I141" i="13"/>
  <c r="I140" i="13"/>
  <c r="I139" i="13"/>
  <c r="I138" i="13"/>
  <c r="I147" i="13"/>
  <c r="I146" i="13"/>
  <c r="I145" i="13"/>
  <c r="I144" i="13"/>
  <c r="I143" i="13"/>
  <c r="Y9" i="12"/>
  <c r="Y7" i="12"/>
  <c r="Y6" i="12"/>
  <c r="Y5" i="12"/>
  <c r="Y8" i="12"/>
  <c r="EI6" i="1"/>
  <c r="D17" i="1" s="1"/>
  <c r="G4" i="3"/>
  <c r="F4" i="3" s="1"/>
  <c r="D12" i="3"/>
  <c r="D6" i="3"/>
  <c r="D9" i="3"/>
  <c r="G9" i="3" s="1"/>
  <c r="F9" i="3" s="1"/>
  <c r="D8" i="3"/>
  <c r="D13" i="3"/>
  <c r="D5" i="3"/>
  <c r="D11" i="3"/>
  <c r="D7" i="3"/>
  <c r="D14" i="3"/>
  <c r="D10" i="3"/>
  <c r="T10" i="12"/>
  <c r="G14" i="3" l="1"/>
  <c r="F14" i="3" s="1"/>
  <c r="G13" i="3"/>
  <c r="F13" i="3" s="1"/>
  <c r="G12" i="3"/>
  <c r="F12" i="3" s="1"/>
  <c r="G7" i="3"/>
  <c r="F7" i="3" s="1"/>
  <c r="G8" i="3"/>
  <c r="F8" i="3" s="1"/>
  <c r="G11" i="3"/>
  <c r="F11" i="3" s="1"/>
  <c r="G10" i="3"/>
  <c r="F10" i="3" s="1"/>
  <c r="G5" i="3"/>
  <c r="F5" i="3" s="1"/>
  <c r="G6" i="3"/>
  <c r="F6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63EEFC-D55F-4945-967B-A5430AC29BA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E6E0D53-E8EC-4748-9628-89F307B9A7A7}" name="WorksheetConnection_teste_venda 2.xlsm!Tabela3" type="102" refreshedVersion="6" minRefreshableVersion="5" saveData="1">
    <extLst>
      <ext xmlns:x15="http://schemas.microsoft.com/office/spreadsheetml/2010/11/main" uri="{DE250136-89BD-433C-8126-D09CA5730AF9}">
        <x15:connection id="Tabela3" autoDelete="1">
          <x15:rangePr sourceName="_xlcn.WorksheetConnection_teste_venda2.xlsmTabela31"/>
        </x15:connection>
      </ext>
    </extLst>
  </connection>
  <connection id="3" xr16:uid="{16EC97FF-6DC8-45F2-865E-16823340FDE2}" name="WorksheetConnection_teste_venda 2.xlsm!Tabela4" type="102" refreshedVersion="6" minRefreshableVersion="5">
    <extLst>
      <ext xmlns:x15="http://schemas.microsoft.com/office/spreadsheetml/2010/11/main" uri="{DE250136-89BD-433C-8126-D09CA5730AF9}">
        <x15:connection id="Tabela4" autoDelete="1">
          <x15:rangePr sourceName="_xlcn.WorksheetConnection_teste_venda2.xlsmTabela41"/>
        </x15:connection>
      </ext>
    </extLst>
  </connection>
  <connection id="4" xr16:uid="{D6869422-C423-4E08-BF0B-52BE66930E24}" name="WorksheetConnection_teste_venda 2.xlsm!Tabela5" type="102" refreshedVersion="6" minRefreshableVersion="5">
    <extLst>
      <ext xmlns:x15="http://schemas.microsoft.com/office/spreadsheetml/2010/11/main" uri="{DE250136-89BD-433C-8126-D09CA5730AF9}">
        <x15:connection id="Tabela5">
          <x15:rangePr sourceName="_xlcn.WorksheetConnection_teste_venda2.xlsmTabela51"/>
        </x15:connection>
      </ext>
    </extLst>
  </connection>
</connections>
</file>

<file path=xl/sharedStrings.xml><?xml version="1.0" encoding="utf-8"?>
<sst xmlns="http://schemas.openxmlformats.org/spreadsheetml/2006/main" count="959" uniqueCount="95">
  <si>
    <t>Data</t>
  </si>
  <si>
    <t>Quantidade</t>
  </si>
  <si>
    <t>Valor total</t>
  </si>
  <si>
    <t>Forma de pagamento</t>
  </si>
  <si>
    <t>Fornecedor</t>
  </si>
  <si>
    <t>Canal de vendas</t>
  </si>
  <si>
    <t>Colar de ouro</t>
  </si>
  <si>
    <t>Dinheiro</t>
  </si>
  <si>
    <t>E-commerce</t>
  </si>
  <si>
    <t>Brinco de ouro</t>
  </si>
  <si>
    <t>Soma de Valor total</t>
  </si>
  <si>
    <t>Rótulos de Linha</t>
  </si>
  <si>
    <t>Total Geral</t>
  </si>
  <si>
    <t>2020</t>
  </si>
  <si>
    <t>2021</t>
  </si>
  <si>
    <t>jan</t>
  </si>
  <si>
    <t>Custo unitário</t>
  </si>
  <si>
    <t>Entrada de estoque</t>
  </si>
  <si>
    <t>Código</t>
  </si>
  <si>
    <t>Produto</t>
  </si>
  <si>
    <t>Valor unitário</t>
  </si>
  <si>
    <t>Saida de estoque</t>
  </si>
  <si>
    <t>Entrada</t>
  </si>
  <si>
    <t>Saida</t>
  </si>
  <si>
    <t>Saldo total</t>
  </si>
  <si>
    <t>Estoque</t>
  </si>
  <si>
    <t>Valor Total</t>
  </si>
  <si>
    <t>Saida do estoque</t>
  </si>
  <si>
    <t>Pedido de venda</t>
  </si>
  <si>
    <t>Valor Unitário</t>
  </si>
  <si>
    <t>A casa dos brincos</t>
  </si>
  <si>
    <t>Brinco de prata</t>
  </si>
  <si>
    <t>Colar de pérolas</t>
  </si>
  <si>
    <t>O rei dos colares</t>
  </si>
  <si>
    <t>Colar de prata</t>
  </si>
  <si>
    <t>Pulseira de ouro</t>
  </si>
  <si>
    <t>Senhor pulseira</t>
  </si>
  <si>
    <t>Pulseira de prata</t>
  </si>
  <si>
    <t>Tiara de prata</t>
  </si>
  <si>
    <t>O recanto das tiaras</t>
  </si>
  <si>
    <t>Tiara de ouro</t>
  </si>
  <si>
    <t>Pingente de ouro</t>
  </si>
  <si>
    <t>Custo total</t>
  </si>
  <si>
    <t>Dif custo tot x venda</t>
  </si>
  <si>
    <t>Código da venda</t>
  </si>
  <si>
    <t>Cadastro de produto</t>
  </si>
  <si>
    <t>Canal de venda</t>
  </si>
  <si>
    <t>Forma de pgto</t>
  </si>
  <si>
    <t>Canal vendas</t>
  </si>
  <si>
    <t>Pingente de prata</t>
  </si>
  <si>
    <t>Vendas</t>
  </si>
  <si>
    <t>Soma de Dif custo tot x venda</t>
  </si>
  <si>
    <t>Valor</t>
  </si>
  <si>
    <t>Custo</t>
  </si>
  <si>
    <t>Contagem Distinta de Código da venda</t>
  </si>
  <si>
    <t>set</t>
  </si>
  <si>
    <t>out</t>
  </si>
  <si>
    <t>nov</t>
  </si>
  <si>
    <t>dez</t>
  </si>
  <si>
    <t>Parcelas</t>
  </si>
  <si>
    <t>Forma pgto</t>
  </si>
  <si>
    <t>Crédito</t>
  </si>
  <si>
    <t>Débito</t>
  </si>
  <si>
    <t>Pix</t>
  </si>
  <si>
    <t>Liquido a receber</t>
  </si>
  <si>
    <t>Juros débito</t>
  </si>
  <si>
    <t>Débito - a receber</t>
  </si>
  <si>
    <t>Juros cartão</t>
  </si>
  <si>
    <t>Cartão - a receber</t>
  </si>
  <si>
    <t>Total Estoque</t>
  </si>
  <si>
    <t>Total vendas</t>
  </si>
  <si>
    <t>Total taxa</t>
  </si>
  <si>
    <t>Taxa crédito</t>
  </si>
  <si>
    <t>Taxa débito</t>
  </si>
  <si>
    <t>Soma de Liquido a receber</t>
  </si>
  <si>
    <t>Loja física</t>
  </si>
  <si>
    <t>Juros crédito</t>
  </si>
  <si>
    <t>Crédito a receber</t>
  </si>
  <si>
    <t>Soma de Juros cartão</t>
  </si>
  <si>
    <t>Soma de Juros débito</t>
  </si>
  <si>
    <t>QTD VENDA</t>
  </si>
  <si>
    <t>custo x venda</t>
  </si>
  <si>
    <t>Média de Liquido a receber</t>
  </si>
  <si>
    <t>Débito a receber</t>
  </si>
  <si>
    <t>Preço médio</t>
  </si>
  <si>
    <t>Preço venda</t>
  </si>
  <si>
    <t>Total estoque</t>
  </si>
  <si>
    <t>(vazio)</t>
  </si>
  <si>
    <t>Total de vendas</t>
  </si>
  <si>
    <t>Valor líquido</t>
  </si>
  <si>
    <t>Qtd vendas</t>
  </si>
  <si>
    <t>Custo x Venda</t>
  </si>
  <si>
    <t>Valor total estoque</t>
  </si>
  <si>
    <t>Colar</t>
  </si>
  <si>
    <t>A casa dos colares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</si>
</sst>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m/d/yyyy"/>
    <numFmt numFmtId="167" formatCode="_(&quot;R$&quot;* #,##0.0000_);_(&quot;R$&quot;* \(#,##0.0000\);_(&quot;R$&quot;* &quot;-&quot;??_);_(@_)"/>
    <numFmt numFmtId="168" formatCode="&quot;R$&quot;\ #,##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4">
    <xf numFmtId="0" fontId="0" fillId="0" borderId="0" xfId="0"/>
    <xf numFmtId="14" fontId="0" fillId="0" borderId="0" xfId="0" applyNumberFormat="1"/>
    <xf numFmtId="164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5" fillId="0" borderId="0" xfId="0" applyFont="1" applyAlignment="1"/>
    <xf numFmtId="0" fontId="0" fillId="0" borderId="1" xfId="0" applyBorder="1"/>
    <xf numFmtId="0" fontId="0" fillId="0" borderId="0" xfId="0" applyBorder="1"/>
    <xf numFmtId="0" fontId="3" fillId="0" borderId="0" xfId="0" applyFont="1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3" fillId="0" borderId="8" xfId="0" applyFont="1" applyBorder="1"/>
    <xf numFmtId="0" fontId="0" fillId="0" borderId="1" xfId="0" applyBorder="1" applyAlignment="1"/>
    <xf numFmtId="0" fontId="0" fillId="0" borderId="0" xfId="0" applyBorder="1" applyAlignment="1"/>
    <xf numFmtId="14" fontId="0" fillId="0" borderId="1" xfId="0" applyNumberFormat="1" applyBorder="1" applyAlignment="1"/>
    <xf numFmtId="0" fontId="0" fillId="0" borderId="1" xfId="0" applyNumberFormat="1" applyBorder="1"/>
    <xf numFmtId="164" fontId="0" fillId="0" borderId="1" xfId="0" applyNumberFormat="1" applyBorder="1"/>
    <xf numFmtId="0" fontId="0" fillId="2" borderId="0" xfId="0" applyFill="1" applyBorder="1" applyAlignment="1">
      <alignment horizontal="centerContinuous" vertical="center"/>
    </xf>
    <xf numFmtId="0" fontId="4" fillId="2" borderId="0" xfId="0" applyFont="1" applyFill="1" applyBorder="1" applyAlignment="1">
      <alignment horizontal="centerContinuous" vertical="center"/>
    </xf>
    <xf numFmtId="0" fontId="0" fillId="2" borderId="1" xfId="0" applyFill="1" applyBorder="1" applyAlignment="1">
      <alignment horizontal="centerContinuous"/>
    </xf>
    <xf numFmtId="0" fontId="0" fillId="2" borderId="5" xfId="0" applyNumberFormat="1" applyFill="1" applyBorder="1" applyAlignment="1">
      <alignment horizontal="centerContinuous" vertical="center"/>
    </xf>
    <xf numFmtId="164" fontId="0" fillId="2" borderId="1" xfId="1" applyFont="1" applyFill="1" applyBorder="1" applyAlignment="1">
      <alignment horizontal="centerContinuous"/>
    </xf>
    <xf numFmtId="164" fontId="0" fillId="0" borderId="1" xfId="1" applyFont="1" applyBorder="1"/>
    <xf numFmtId="14" fontId="0" fillId="0" borderId="9" xfId="0" applyNumberFormat="1" applyBorder="1"/>
    <xf numFmtId="0" fontId="0" fillId="0" borderId="11" xfId="0" applyNumberFormat="1" applyBorder="1"/>
    <xf numFmtId="0" fontId="0" fillId="0" borderId="11" xfId="0" applyBorder="1"/>
    <xf numFmtId="164" fontId="0" fillId="0" borderId="11" xfId="1" applyFont="1" applyBorder="1"/>
    <xf numFmtId="164" fontId="0" fillId="0" borderId="7" xfId="1" applyFont="1" applyBorder="1"/>
    <xf numFmtId="14" fontId="0" fillId="0" borderId="4" xfId="0" applyNumberFormat="1" applyBorder="1"/>
    <xf numFmtId="0" fontId="0" fillId="0" borderId="13" xfId="0" applyNumberFormat="1" applyBorder="1"/>
    <xf numFmtId="0" fontId="0" fillId="0" borderId="13" xfId="0" applyBorder="1"/>
    <xf numFmtId="164" fontId="0" fillId="0" borderId="13" xfId="1" applyFont="1" applyBorder="1"/>
    <xf numFmtId="164" fontId="0" fillId="0" borderId="7" xfId="1" applyFont="1" applyFill="1" applyBorder="1"/>
    <xf numFmtId="164" fontId="0" fillId="0" borderId="2" xfId="1" applyFont="1" applyFill="1" applyBorder="1"/>
    <xf numFmtId="164" fontId="0" fillId="0" borderId="1" xfId="1" applyFont="1" applyBorder="1" applyAlignment="1"/>
    <xf numFmtId="0" fontId="0" fillId="2" borderId="0" xfId="0" applyNumberFormat="1" applyFill="1" applyBorder="1" applyAlignment="1">
      <alignment horizontal="centerContinuous" vertical="center"/>
    </xf>
    <xf numFmtId="164" fontId="0" fillId="0" borderId="2" xfId="1" applyNumberFormat="1" applyFont="1" applyBorder="1"/>
    <xf numFmtId="164" fontId="0" fillId="0" borderId="0" xfId="1" applyFont="1" applyBorder="1" applyAlignment="1"/>
    <xf numFmtId="164" fontId="0" fillId="0" borderId="8" xfId="1" applyFont="1" applyBorder="1" applyAlignment="1"/>
    <xf numFmtId="0" fontId="0" fillId="0" borderId="1" xfId="1" applyNumberFormat="1" applyFont="1" applyBorder="1" applyAlignment="1"/>
    <xf numFmtId="14" fontId="0" fillId="2" borderId="5" xfId="0" applyNumberFormat="1" applyFill="1" applyBorder="1" applyAlignment="1">
      <alignment horizontal="centerContinuous" vertical="center"/>
    </xf>
    <xf numFmtId="164" fontId="4" fillId="2" borderId="0" xfId="1" applyFont="1" applyFill="1" applyBorder="1" applyAlignment="1">
      <alignment horizontal="centerContinuous" vertical="center"/>
    </xf>
    <xf numFmtId="164" fontId="0" fillId="2" borderId="0" xfId="1" applyFont="1" applyFill="1" applyBorder="1" applyAlignment="1">
      <alignment horizontal="centerContinuous" vertical="center"/>
    </xf>
    <xf numFmtId="164" fontId="0" fillId="2" borderId="6" xfId="1" applyFont="1" applyFill="1" applyBorder="1" applyAlignment="1">
      <alignment horizontal="centerContinuous" vertical="center"/>
    </xf>
    <xf numFmtId="164" fontId="0" fillId="0" borderId="1" xfId="1" applyNumberFormat="1" applyFont="1" applyBorder="1"/>
    <xf numFmtId="0" fontId="0" fillId="2" borderId="0" xfId="1" applyNumberFormat="1" applyFont="1" applyFill="1" applyBorder="1" applyAlignment="1">
      <alignment horizontal="centerContinuous" vertical="center"/>
    </xf>
    <xf numFmtId="0" fontId="0" fillId="0" borderId="10" xfId="1" applyNumberFormat="1" applyFont="1" applyBorder="1"/>
    <xf numFmtId="0" fontId="0" fillId="0" borderId="0" xfId="1" applyNumberFormat="1" applyFont="1"/>
    <xf numFmtId="0" fontId="0" fillId="0" borderId="10" xfId="0" applyNumberFormat="1" applyBorder="1"/>
    <xf numFmtId="0" fontId="0" fillId="0" borderId="9" xfId="0" applyNumberFormat="1" applyBorder="1"/>
    <xf numFmtId="0" fontId="0" fillId="0" borderId="7" xfId="0" applyNumberFormat="1" applyBorder="1"/>
    <xf numFmtId="0" fontId="0" fillId="0" borderId="1" xfId="0" applyBorder="1" applyAlignment="1">
      <alignment horizontal="left" vertical="center"/>
    </xf>
    <xf numFmtId="164" fontId="0" fillId="0" borderId="1" xfId="1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64" fontId="0" fillId="0" borderId="0" xfId="1" applyFont="1" applyBorder="1"/>
    <xf numFmtId="0" fontId="3" fillId="0" borderId="1" xfId="0" applyFont="1" applyBorder="1"/>
    <xf numFmtId="0" fontId="0" fillId="0" borderId="12" xfId="0" applyNumberFormat="1" applyBorder="1"/>
    <xf numFmtId="0" fontId="3" fillId="0" borderId="0" xfId="0" applyFont="1" applyBorder="1" applyProtection="1">
      <protection hidden="1"/>
    </xf>
    <xf numFmtId="0" fontId="6" fillId="0" borderId="0" xfId="0" applyFont="1"/>
    <xf numFmtId="14" fontId="0" fillId="2" borderId="1" xfId="0" applyNumberFormat="1" applyFill="1" applyBorder="1" applyAlignment="1">
      <alignment horizontal="centerContinuous"/>
    </xf>
    <xf numFmtId="0" fontId="7" fillId="0" borderId="0" xfId="0" applyFont="1"/>
    <xf numFmtId="166" fontId="0" fillId="0" borderId="12" xfId="0" applyNumberFormat="1" applyBorder="1"/>
    <xf numFmtId="166" fontId="0" fillId="0" borderId="4" xfId="0" applyNumberFormat="1" applyBorder="1"/>
    <xf numFmtId="0" fontId="0" fillId="0" borderId="1" xfId="0" applyBorder="1" applyAlignment="1">
      <alignment horizontal="center" vertical="center"/>
    </xf>
    <xf numFmtId="164" fontId="0" fillId="0" borderId="10" xfId="1" applyNumberFormat="1" applyFont="1" applyBorder="1"/>
    <xf numFmtId="167" fontId="0" fillId="0" borderId="10" xfId="1" applyNumberFormat="1" applyFont="1" applyBorder="1"/>
    <xf numFmtId="164" fontId="0" fillId="0" borderId="10" xfId="0" applyNumberFormat="1" applyBorder="1"/>
    <xf numFmtId="0" fontId="0" fillId="0" borderId="0" xfId="0" applyAlignment="1">
      <alignment horizontal="left" indent="1"/>
    </xf>
    <xf numFmtId="0" fontId="0" fillId="7" borderId="0" xfId="0" applyFill="1"/>
    <xf numFmtId="0" fontId="0" fillId="7" borderId="0" xfId="0" applyFill="1" applyBorder="1" applyAlignment="1">
      <alignment horizontal="center" vertical="center"/>
    </xf>
    <xf numFmtId="0" fontId="0" fillId="7" borderId="0" xfId="0" applyFill="1" applyBorder="1"/>
    <xf numFmtId="164" fontId="6" fillId="7" borderId="0" xfId="1" applyFont="1" applyFill="1" applyBorder="1"/>
    <xf numFmtId="0" fontId="6" fillId="7" borderId="0" xfId="0" applyFont="1" applyFill="1" applyBorder="1" applyAlignment="1">
      <alignment horizontal="centerContinuous"/>
    </xf>
    <xf numFmtId="0" fontId="0" fillId="7" borderId="0" xfId="0" applyFill="1" applyBorder="1" applyAlignment="1">
      <alignment horizontal="centerContinuous"/>
    </xf>
    <xf numFmtId="164" fontId="0" fillId="7" borderId="0" xfId="0" applyNumberFormat="1" applyFill="1" applyBorder="1"/>
    <xf numFmtId="164" fontId="0" fillId="0" borderId="0" xfId="0" applyNumberFormat="1"/>
    <xf numFmtId="2" fontId="0" fillId="0" borderId="0" xfId="0" applyNumberFormat="1"/>
    <xf numFmtId="14" fontId="0" fillId="0" borderId="1" xfId="0" applyNumberFormat="1" applyBorder="1"/>
    <xf numFmtId="0" fontId="0" fillId="0" borderId="1" xfId="1" applyNumberFormat="1" applyFont="1" applyBorder="1"/>
    <xf numFmtId="165" fontId="0" fillId="2" borderId="0" xfId="1" applyNumberFormat="1" applyFont="1" applyFill="1" applyBorder="1" applyAlignment="1">
      <alignment horizontal="centerContinuous" vertical="center"/>
    </xf>
    <xf numFmtId="165" fontId="0" fillId="0" borderId="1" xfId="1" applyNumberFormat="1" applyFont="1" applyBorder="1"/>
    <xf numFmtId="165" fontId="0" fillId="0" borderId="0" xfId="1" applyNumberFormat="1" applyFont="1"/>
    <xf numFmtId="165" fontId="0" fillId="0" borderId="10" xfId="1" applyNumberFormat="1" applyFont="1" applyBorder="1"/>
    <xf numFmtId="164" fontId="0" fillId="0" borderId="6" xfId="1" applyFont="1" applyBorder="1" applyAlignment="1"/>
    <xf numFmtId="168" fontId="0" fillId="0" borderId="0" xfId="0" applyNumberFormat="1"/>
    <xf numFmtId="0" fontId="0" fillId="0" borderId="0" xfId="0" applyFont="1"/>
    <xf numFmtId="0" fontId="0" fillId="7" borderId="0" xfId="0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3" borderId="6" xfId="0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$&quot;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&quot;R$&quot;* #,##0.0000_);_(&quot;R$&quot;* \(#,##0.0000\);_(&quot;R$&quot;* &quot;-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$&quot;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_(&quot;R$&quot;* #,##0.00_);_(&quot;R$&quot;* \(#,##0.00\);_(&quot;R$&quot;* &quot;-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_(&quot;R$&quot;* #,##0.00_);_(&quot;R$&quot;* \(#,##0.00\);_(&quot;R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pivotCacheDefinition" Target="pivotCache/pivotCacheDefinition14.xml"/><Relationship Id="rId39" Type="http://schemas.openxmlformats.org/officeDocument/2006/relationships/calcChain" Target="calcChain.xml"/><Relationship Id="rId21" Type="http://schemas.openxmlformats.org/officeDocument/2006/relationships/pivotCacheDefinition" Target="pivotCache/pivotCacheDefinition9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pivotCacheDefinition" Target="pivotCache/pivotCacheDefinition13.xml"/><Relationship Id="rId33" Type="http://schemas.microsoft.com/office/2007/relationships/slicerCache" Target="slicerCaches/slicerCache4.xml"/><Relationship Id="rId38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pivotCacheDefinition" Target="pivotCache/pivotCacheDefinition8.xml"/><Relationship Id="rId29" Type="http://schemas.openxmlformats.org/officeDocument/2006/relationships/pivotCacheDefinition" Target="pivotCache/pivotCacheDefinition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2.xml"/><Relationship Id="rId32" Type="http://schemas.microsoft.com/office/2007/relationships/slicerCache" Target="slicerCaches/slicerCache3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pivotCacheDefinition" Target="pivotCache/pivotCacheDefinition11.xml"/><Relationship Id="rId28" Type="http://schemas.openxmlformats.org/officeDocument/2006/relationships/pivotCacheDefinition" Target="pivotCache/pivotCacheDefinition16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pivotCacheDefinition" Target="pivotCache/pivotCacheDefinition10.xml"/><Relationship Id="rId27" Type="http://schemas.openxmlformats.org/officeDocument/2006/relationships/pivotCacheDefinition" Target="pivotCache/pivotCacheDefinition15.xml"/><Relationship Id="rId30" Type="http://schemas.microsoft.com/office/2007/relationships/slicerCache" Target="slicerCaches/slicerCache1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dinâmica22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Lucro líquido por produto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'Nova dinâmica'!$B$184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'Nova dinâmica'!$A$185:$A$196</c:f>
              <c:strCache>
                <c:ptCount val="11"/>
                <c:pt idx="0">
                  <c:v>(vazio)</c:v>
                </c:pt>
                <c:pt idx="1">
                  <c:v>Brinco de ouro</c:v>
                </c:pt>
                <c:pt idx="2">
                  <c:v>Brinco de prata</c:v>
                </c:pt>
                <c:pt idx="3">
                  <c:v>Colar de ouro</c:v>
                </c:pt>
                <c:pt idx="4">
                  <c:v>Colar de pérolas</c:v>
                </c:pt>
                <c:pt idx="5">
                  <c:v>Colar de prata</c:v>
                </c:pt>
                <c:pt idx="6">
                  <c:v>Pingente de ouro</c:v>
                </c:pt>
                <c:pt idx="7">
                  <c:v>Pulseira de ouro</c:v>
                </c:pt>
                <c:pt idx="8">
                  <c:v>Pulseira de prata</c:v>
                </c:pt>
                <c:pt idx="9">
                  <c:v>Tiara de ouro</c:v>
                </c:pt>
                <c:pt idx="10">
                  <c:v>Tiara de prata</c:v>
                </c:pt>
              </c:strCache>
            </c:strRef>
          </c:cat>
          <c:val>
            <c:numRef>
              <c:f>'Nova dinâmica'!$B$185:$B$196</c:f>
              <c:numCache>
                <c:formatCode>General</c:formatCode>
                <c:ptCount val="11"/>
                <c:pt idx="0">
                  <c:v>0</c:v>
                </c:pt>
                <c:pt idx="1">
                  <c:v>196.20212500000002</c:v>
                </c:pt>
                <c:pt idx="2">
                  <c:v>169.58686363636363</c:v>
                </c:pt>
                <c:pt idx="3">
                  <c:v>228.68</c:v>
                </c:pt>
                <c:pt idx="4">
                  <c:v>399.12469375000001</c:v>
                </c:pt>
                <c:pt idx="5">
                  <c:v>356.74535600000002</c:v>
                </c:pt>
                <c:pt idx="6">
                  <c:v>290.08189500000003</c:v>
                </c:pt>
                <c:pt idx="7">
                  <c:v>148.55753333333331</c:v>
                </c:pt>
                <c:pt idx="8">
                  <c:v>150.71571428571428</c:v>
                </c:pt>
                <c:pt idx="9">
                  <c:v>245.69</c:v>
                </c:pt>
                <c:pt idx="10">
                  <c:v>192.93185000000003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A6-44C1-811B-11D155E4A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99537584"/>
        <c:axId val="1899538000"/>
      </c:barChart>
      <c:catAx>
        <c:axId val="189953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538000"/>
        <c:crosses val="autoZero"/>
        <c:auto val="1"/>
        <c:lblAlgn val="ctr"/>
        <c:lblOffset val="100"/>
        <c:noMultiLvlLbl val="0"/>
      </c:catAx>
      <c:valAx>
        <c:axId val="189953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53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'Nova dinâmica'!$B$1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'Nova dinâmica'!$A$2:$A$9</c:f>
              <c:multiLvlStrCache>
                <c:ptCount val="5"/>
                <c:lvl>
                  <c:pt idx="0">
                    <c:v>set</c:v>
                  </c:pt>
                  <c:pt idx="1">
                    <c:v>out</c:v>
                  </c:pt>
                  <c:pt idx="2">
                    <c:v>nov</c:v>
                  </c:pt>
                  <c:pt idx="3">
                    <c:v>dez</c:v>
                  </c:pt>
                  <c:pt idx="4">
                    <c:v>jan</c:v>
                  </c:pt>
                </c:lvl>
                <c:lvl>
                  <c:pt idx="0">
                    <c:v>2020</c:v>
                  </c:pt>
                  <c:pt idx="4">
                    <c:v>2021</c:v>
                  </c:pt>
                </c:lvl>
              </c:multiLvlStrCache>
            </c:multiLvlStrRef>
          </c:cat>
          <c:val>
            <c:numRef>
              <c:f>'Nova dinâmica'!$B$2:$B$9</c:f>
              <c:numCache>
                <c:formatCode>"$"\ #.##000</c:formatCode>
                <c:ptCount val="5"/>
                <c:pt idx="0">
                  <c:v>5955</c:v>
                </c:pt>
                <c:pt idx="1">
                  <c:v>2652.6</c:v>
                </c:pt>
                <c:pt idx="2">
                  <c:v>4027.5</c:v>
                </c:pt>
                <c:pt idx="3">
                  <c:v>3135</c:v>
                </c:pt>
                <c:pt idx="4">
                  <c:v>7437.5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03-446B-B7FA-D9DA6949D0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24209376"/>
        <c:axId val="924205216"/>
      </c:barChart>
      <c:catAx>
        <c:axId val="92420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205216"/>
        <c:crosses val="autoZero"/>
        <c:auto val="1"/>
        <c:lblAlgn val="ctr"/>
        <c:lblOffset val="100"/>
        <c:noMultiLvlLbl val="0"/>
      </c:catAx>
      <c:valAx>
        <c:axId val="924205216"/>
        <c:scaling>
          <c:orientation val="minMax"/>
        </c:scaling>
        <c:delete val="1"/>
        <c:axPos val="l"/>
        <c:numFmt formatCode="&quot;$&quot;\ #.##000" sourceLinked="1"/>
        <c:majorTickMark val="none"/>
        <c:minorTickMark val="none"/>
        <c:tickLblPos val="nextTo"/>
        <c:crossAx val="92420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>
      <a:softEdge rad="254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vendas por produto</a:t>
            </a:r>
          </a:p>
        </c:rich>
      </c:tx>
      <c:layout>
        <c:manualLayout>
          <c:xMode val="edge"/>
          <c:yMode val="edge"/>
          <c:x val="0.2649415456206519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091372004586274E-2"/>
          <c:y val="0.14751023580112607"/>
          <c:w val="0.98190857392825892"/>
          <c:h val="0.707068022747156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'Nova dinâmica'!$B$26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'Nova dinâmica'!$A$27:$A$38</c:f>
              <c:strCache>
                <c:ptCount val="11"/>
                <c:pt idx="0">
                  <c:v>(vazio)</c:v>
                </c:pt>
                <c:pt idx="1">
                  <c:v>Brinco de ouro</c:v>
                </c:pt>
                <c:pt idx="2">
                  <c:v>Brinco de prata</c:v>
                </c:pt>
                <c:pt idx="3">
                  <c:v>Colar de ouro</c:v>
                </c:pt>
                <c:pt idx="4">
                  <c:v>Colar de pérolas</c:v>
                </c:pt>
                <c:pt idx="5">
                  <c:v>Colar de prata</c:v>
                </c:pt>
                <c:pt idx="6">
                  <c:v>Pingente de ouro</c:v>
                </c:pt>
                <c:pt idx="7">
                  <c:v>Pulseira de ouro</c:v>
                </c:pt>
                <c:pt idx="8">
                  <c:v>Pulseira de prata</c:v>
                </c:pt>
                <c:pt idx="9">
                  <c:v>Tiara de ouro</c:v>
                </c:pt>
                <c:pt idx="10">
                  <c:v>Tiara de prata</c:v>
                </c:pt>
              </c:strCache>
            </c:strRef>
          </c:cat>
          <c:val>
            <c:numRef>
              <c:f>'Nova dinâmica'!$B$27:$B$38</c:f>
              <c:numCache>
                <c:formatCode>"$"\ #.##000</c:formatCode>
                <c:ptCount val="11"/>
                <c:pt idx="0">
                  <c:v>0</c:v>
                </c:pt>
                <c:pt idx="1">
                  <c:v>2445</c:v>
                </c:pt>
                <c:pt idx="2">
                  <c:v>1902</c:v>
                </c:pt>
                <c:pt idx="3">
                  <c:v>1171</c:v>
                </c:pt>
                <c:pt idx="4">
                  <c:v>3309</c:v>
                </c:pt>
                <c:pt idx="5">
                  <c:v>3702.1</c:v>
                </c:pt>
                <c:pt idx="6">
                  <c:v>2970.5</c:v>
                </c:pt>
                <c:pt idx="7">
                  <c:v>1353</c:v>
                </c:pt>
                <c:pt idx="8">
                  <c:v>2150</c:v>
                </c:pt>
                <c:pt idx="9">
                  <c:v>2215</c:v>
                </c:pt>
                <c:pt idx="10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0-46BF-A3A6-8D1D6747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9080048"/>
        <c:axId val="1139075056"/>
      </c:barChart>
      <c:catAx>
        <c:axId val="113908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9075056"/>
        <c:crosses val="autoZero"/>
        <c:auto val="1"/>
        <c:lblAlgn val="ctr"/>
        <c:lblOffset val="100"/>
        <c:noMultiLvlLbl val="0"/>
      </c:catAx>
      <c:valAx>
        <c:axId val="113907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908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de vendas por</a:t>
            </a:r>
            <a:r>
              <a:rPr lang="en-US" b="1" baseline="0"/>
              <a:t> fornecedor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428630761942463"/>
              <c:y val="-1.914893296214894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335803702958601"/>
                  <c:h val="0.23174129138192473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846183798095954"/>
              <c:y val="0.1276595530809929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945085110939498"/>
              <c:y val="-6.3829776540497507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809284003815875"/>
                  <c:h val="0.23174129138192473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912137475420688"/>
              <c:y val="-7.021275419454614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257909184713128"/>
                  <c:h val="0.23174129138192473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'Nova dinâmica'!$B$47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22-48E8-A4D0-4C3988050B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22-48E8-A4D0-4C3988050B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22-48E8-A4D0-4C3988050B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F22-48E8-A4D0-4C3988050B71}"/>
              </c:ext>
            </c:extLst>
          </c:dPt>
          <c:dLbls>
            <c:dLbl>
              <c:idx val="0"/>
              <c:layout>
                <c:manualLayout>
                  <c:x val="0.21428630761942463"/>
                  <c:y val="-1.914893296214894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335803702958601"/>
                      <c:h val="0.231741291381924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22-48E8-A4D0-4C3988050B71}"/>
                </c:ext>
              </c:extLst>
            </c:dLbl>
            <c:dLbl>
              <c:idx val="1"/>
              <c:layout>
                <c:manualLayout>
                  <c:x val="0.13846183798095954"/>
                  <c:y val="0.1276595530809929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22-48E8-A4D0-4C3988050B71}"/>
                </c:ext>
              </c:extLst>
            </c:dLbl>
            <c:dLbl>
              <c:idx val="2"/>
              <c:layout>
                <c:manualLayout>
                  <c:x val="-0.19945085110939498"/>
                  <c:y val="-6.38297765404975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809284003815875"/>
                      <c:h val="0.231741291381924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F22-48E8-A4D0-4C3988050B71}"/>
                </c:ext>
              </c:extLst>
            </c:dLbl>
            <c:dLbl>
              <c:idx val="3"/>
              <c:layout>
                <c:manualLayout>
                  <c:x val="-0.22912137475420688"/>
                  <c:y val="-7.021275419454614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257909184713128"/>
                      <c:h val="0.231741291381924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F22-48E8-A4D0-4C3988050B7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'Nova dinâmica'!$A$48:$A$52</c:f>
              <c:strCache>
                <c:ptCount val="4"/>
                <c:pt idx="0">
                  <c:v>A casa dos brincos</c:v>
                </c:pt>
                <c:pt idx="1">
                  <c:v>O recanto das tiaras</c:v>
                </c:pt>
                <c:pt idx="2">
                  <c:v>O rei dos colares</c:v>
                </c:pt>
                <c:pt idx="3">
                  <c:v>Senhor pulseira</c:v>
                </c:pt>
              </c:strCache>
            </c:strRef>
          </c:cat>
          <c:val>
            <c:numRef>
              <c:f>'Nova dinâmica'!$B$48:$B$52</c:f>
              <c:numCache>
                <c:formatCode>"$"\ #.##000</c:formatCode>
                <c:ptCount val="4"/>
                <c:pt idx="0">
                  <c:v>7317.5</c:v>
                </c:pt>
                <c:pt idx="1">
                  <c:v>4205</c:v>
                </c:pt>
                <c:pt idx="2">
                  <c:v>8182.1</c:v>
                </c:pt>
                <c:pt idx="3">
                  <c:v>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68-4D87-85FC-1DB4F148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dinâmica20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Canal de 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'Nova dinâmica'!$B$163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5F-41BA-901D-83C58D5691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5F-41BA-901D-83C58D569161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'Nova dinâmica'!$A$164:$A$166</c:f>
              <c:strCache>
                <c:ptCount val="2"/>
                <c:pt idx="0">
                  <c:v>E-commerce</c:v>
                </c:pt>
                <c:pt idx="1">
                  <c:v>Loja física</c:v>
                </c:pt>
              </c:strCache>
            </c:strRef>
          </c:cat>
          <c:val>
            <c:numRef>
              <c:f>'Nova dinâmica'!$B$164:$B$166</c:f>
              <c:numCache>
                <c:formatCode>"$"\ #.##000</c:formatCode>
                <c:ptCount val="2"/>
                <c:pt idx="0">
                  <c:v>12807.5</c:v>
                </c:pt>
                <c:pt idx="1">
                  <c:v>10400.1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5F-41BA-901D-83C58D56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dinâmica21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Forma</a:t>
            </a:r>
            <a:r>
              <a:rPr lang="en-US" baseline="0"/>
              <a:t> de pagamento </a:t>
            </a:r>
            <a:br>
              <a:rPr lang="en-US" baseline="0"/>
            </a:br>
            <a:endParaRPr lang="en-US"/>
          </a:p>
        </c:rich>
      </c:tx>
      <c:layout>
        <c:manualLayout>
          <c:xMode val="edge"/>
          <c:yMode val="edge"/>
          <c:x val="0.20482698328662707"/>
          <c:y val="1.00959695354180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dLbl>
          <c:idx val="0"/>
          <c:layout>
            <c:manualLayout>
              <c:x val="0.24717602800616764"/>
              <c:y val="7.6824568375983065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dLbl>
          <c:idx val="0"/>
          <c:layout>
            <c:manualLayout>
              <c:x val="-0.25514944826443126"/>
              <c:y val="8.4507025213581374E-2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dLbl>
          <c:idx val="0"/>
          <c:layout>
            <c:manualLayout>
              <c:x val="-0.20332221658571867"/>
              <c:y val="-9.2189482051179675E-2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dLbl>
          <c:idx val="0"/>
          <c:layout>
            <c:manualLayout>
              <c:x val="-0.28305641916835345"/>
              <c:y val="-0.24778123073610397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-0.12923085689797681"/>
              <c:y val="6.2500030757889156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-0.16984626906591244"/>
              <c:y val="-0.15625007689472295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3846203941700357E-3"/>
              <c:y val="-0.13125006459156721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4787987257750291"/>
          <c:y val="0.32904642177481386"/>
          <c:w val="0.36005391790014013"/>
          <c:h val="0.63009460356978642"/>
        </c:manualLayout>
      </c:layout>
      <c:doughnutChart>
        <c:varyColors val="1"/>
        <c:ser>
          <c:idx val="0"/>
          <c:order val="0"/>
          <c:tx>
            <c:strRef>
              <c:f>'Nova dinâmica'!$B$173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321-456A-865E-18E3A65E3A1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321-456A-865E-18E3A65E3A1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21-456A-865E-18E3A65E3A1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21-456A-865E-18E3A65E3A17}"/>
              </c:ext>
            </c:extLst>
          </c:dPt>
          <c:dLbls>
            <c:dLbl>
              <c:idx val="1"/>
              <c:layout>
                <c:manualLayout>
                  <c:x val="-0.12923085689797681"/>
                  <c:y val="6.2500030757889156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21-456A-865E-18E3A65E3A17}"/>
                </c:ext>
              </c:extLst>
            </c:dLbl>
            <c:dLbl>
              <c:idx val="2"/>
              <c:layout>
                <c:manualLayout>
                  <c:x val="-0.16984626906591244"/>
                  <c:y val="-0.1562500768947229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21-456A-865E-18E3A65E3A17}"/>
                </c:ext>
              </c:extLst>
            </c:dLbl>
            <c:dLbl>
              <c:idx val="3"/>
              <c:layout>
                <c:manualLayout>
                  <c:x val="7.3846203941700357E-3"/>
                  <c:y val="-0.1312500645915672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21-456A-865E-18E3A65E3A17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'Nova dinâmica'!$A$174:$A$178</c:f>
              <c:strCache>
                <c:ptCount val="4"/>
                <c:pt idx="0">
                  <c:v>Crédito</c:v>
                </c:pt>
                <c:pt idx="1">
                  <c:v>Débito</c:v>
                </c:pt>
                <c:pt idx="2">
                  <c:v>Dinheiro</c:v>
                </c:pt>
                <c:pt idx="3">
                  <c:v>Pix</c:v>
                </c:pt>
              </c:strCache>
            </c:strRef>
          </c:cat>
          <c:val>
            <c:numRef>
              <c:f>'Nova dinâmica'!$B$174:$B$178</c:f>
              <c:numCache>
                <c:formatCode>"$"\ #.##000</c:formatCode>
                <c:ptCount val="4"/>
                <c:pt idx="0">
                  <c:v>11764.5</c:v>
                </c:pt>
                <c:pt idx="1">
                  <c:v>3106.6</c:v>
                </c:pt>
                <c:pt idx="2">
                  <c:v>4021.5</c:v>
                </c:pt>
                <c:pt idx="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21-456A-865E-18E3A65E3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dinâmica26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Preço</a:t>
            </a:r>
            <a:r>
              <a:rPr lang="pt-BR" baseline="0"/>
              <a:t> de venda x Custo unitário por produto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'Nova dinâmica'!$B$225</c:f>
              <c:strCache>
                <c:ptCount val="1"/>
                <c:pt idx="0">
                  <c:v>Custo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'Nova dinâmica'!$A$226:$A$236</c:f>
              <c:strCache>
                <c:ptCount val="10"/>
                <c:pt idx="0">
                  <c:v>Brinco de ouro</c:v>
                </c:pt>
                <c:pt idx="1">
                  <c:v>Brinco de prata</c:v>
                </c:pt>
                <c:pt idx="2">
                  <c:v>Colar de ouro</c:v>
                </c:pt>
                <c:pt idx="3">
                  <c:v>Colar de pérolas</c:v>
                </c:pt>
                <c:pt idx="4">
                  <c:v>Colar de prata</c:v>
                </c:pt>
                <c:pt idx="5">
                  <c:v>Pingente de ouro</c:v>
                </c:pt>
                <c:pt idx="6">
                  <c:v>Pulseira de ouro</c:v>
                </c:pt>
                <c:pt idx="7">
                  <c:v>Pulseira de prata</c:v>
                </c:pt>
                <c:pt idx="8">
                  <c:v>Tiara de ouro</c:v>
                </c:pt>
                <c:pt idx="9">
                  <c:v>Tiara de prata</c:v>
                </c:pt>
              </c:strCache>
            </c:strRef>
          </c:cat>
          <c:val>
            <c:numRef>
              <c:f>'Nova dinâmica'!$B$226:$B$236</c:f>
              <c:numCache>
                <c:formatCode>"$"\ #.##0</c:formatCode>
                <c:ptCount val="10"/>
                <c:pt idx="0">
                  <c:v>24.900000000000002</c:v>
                </c:pt>
                <c:pt idx="1">
                  <c:v>18.5</c:v>
                </c:pt>
                <c:pt idx="2">
                  <c:v>99.5</c:v>
                </c:pt>
                <c:pt idx="3">
                  <c:v>85.899999999999991</c:v>
                </c:pt>
                <c:pt idx="4">
                  <c:v>91.5</c:v>
                </c:pt>
                <c:pt idx="5">
                  <c:v>18.900000000000002</c:v>
                </c:pt>
                <c:pt idx="6">
                  <c:v>35.5</c:v>
                </c:pt>
                <c:pt idx="7">
                  <c:v>29.899999999999995</c:v>
                </c:pt>
                <c:pt idx="8">
                  <c:v>38.9</c:v>
                </c:pt>
                <c:pt idx="9">
                  <c:v>32.899999999999991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2F-48FD-8C8E-C49CD2B3C6B3}"/>
            </c:ext>
          </c:extLst>
        </c:ser>
        <c:ser>
          <c:idx val="1"/>
          <c:order val="1"/>
          <c:tx>
            <c:strRef>
              <c:f>'Nova dinâmica'!$C$225</c:f>
              <c:strCache>
                <c:ptCount val="1"/>
                <c:pt idx="0">
                  <c:v>Preço venda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'Nova dinâmica'!$A$226:$A$236</c:f>
              <c:strCache>
                <c:ptCount val="10"/>
                <c:pt idx="0">
                  <c:v>Brinco de ouro</c:v>
                </c:pt>
                <c:pt idx="1">
                  <c:v>Brinco de prata</c:v>
                </c:pt>
                <c:pt idx="2">
                  <c:v>Colar de ouro</c:v>
                </c:pt>
                <c:pt idx="3">
                  <c:v>Colar de pérolas</c:v>
                </c:pt>
                <c:pt idx="4">
                  <c:v>Colar de prata</c:v>
                </c:pt>
                <c:pt idx="5">
                  <c:v>Pingente de ouro</c:v>
                </c:pt>
                <c:pt idx="6">
                  <c:v>Pulseira de ouro</c:v>
                </c:pt>
                <c:pt idx="7">
                  <c:v>Pulseira de prata</c:v>
                </c:pt>
                <c:pt idx="8">
                  <c:v>Tiara de ouro</c:v>
                </c:pt>
                <c:pt idx="9">
                  <c:v>Tiara de prata</c:v>
                </c:pt>
              </c:strCache>
            </c:strRef>
          </c:cat>
          <c:val>
            <c:numRef>
              <c:f>'Nova dinâmica'!$C$226:$C$236</c:f>
              <c:numCache>
                <c:formatCode>"$"\ #.##0</c:formatCode>
                <c:ptCount val="10"/>
                <c:pt idx="0">
                  <c:v>57.916666666666664</c:v>
                </c:pt>
                <c:pt idx="1">
                  <c:v>54.272727272727273</c:v>
                </c:pt>
                <c:pt idx="2">
                  <c:v>194.2</c:v>
                </c:pt>
                <c:pt idx="3">
                  <c:v>187.875</c:v>
                </c:pt>
                <c:pt idx="4">
                  <c:v>183.98</c:v>
                </c:pt>
                <c:pt idx="5">
                  <c:v>67.989999999999995</c:v>
                </c:pt>
                <c:pt idx="6">
                  <c:v>54.511111111111113</c:v>
                </c:pt>
                <c:pt idx="7">
                  <c:v>55</c:v>
                </c:pt>
                <c:pt idx="8">
                  <c:v>58.777777777777779</c:v>
                </c:pt>
                <c:pt idx="9">
                  <c:v>53.5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2F-48FD-8C8E-C49CD2B3C6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1577360"/>
        <c:axId val="1911563216"/>
      </c:lineChart>
      <c:catAx>
        <c:axId val="191157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1563216"/>
        <c:crosses val="autoZero"/>
        <c:auto val="1"/>
        <c:lblAlgn val="ctr"/>
        <c:lblOffset val="100"/>
        <c:noMultiLvlLbl val="0"/>
      </c:catAx>
      <c:valAx>
        <c:axId val="1911563216"/>
        <c:scaling>
          <c:orientation val="minMax"/>
        </c:scaling>
        <c:delete val="1"/>
        <c:axPos val="l"/>
        <c:numFmt formatCode="&quot;$&quot;\ #.##0" sourceLinked="1"/>
        <c:majorTickMark val="none"/>
        <c:minorTickMark val="none"/>
        <c:tickLblPos val="nextTo"/>
        <c:crossAx val="191157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Vendas.xlsm]Nova dinâmica!Tabela dinâmica29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</a:t>
            </a:r>
            <a:r>
              <a:rPr lang="pt-BR" baseline="0"/>
              <a:t> x Valor total em estoque por produto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'Nova dinâmica'!$B$245</c:f>
              <c:strCache>
                <c:ptCount val="1"/>
                <c:pt idx="0">
                  <c:v>Quantidade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'Nova dinâmica'!$A$246:$A$258</c:f>
              <c:strCache>
                <c:ptCount val="12"/>
                <c:pt idx="0">
                  <c:v>Colar de ouro</c:v>
                </c:pt>
                <c:pt idx="1">
                  <c:v>Colar de prata</c:v>
                </c:pt>
                <c:pt idx="2">
                  <c:v>Pingente de prata</c:v>
                </c:pt>
                <c:pt idx="3">
                  <c:v>Pulseira de ouro</c:v>
                </c:pt>
                <c:pt idx="4">
                  <c:v>Brinco de prata</c:v>
                </c:pt>
                <c:pt idx="5">
                  <c:v>Pulseira de prata</c:v>
                </c:pt>
                <c:pt idx="6">
                  <c:v>Tiara de ouro</c:v>
                </c:pt>
                <c:pt idx="7">
                  <c:v>Colar de pérolas</c:v>
                </c:pt>
                <c:pt idx="8">
                  <c:v>Tiara de prata</c:v>
                </c:pt>
                <c:pt idx="9">
                  <c:v>Pingente de ouro</c:v>
                </c:pt>
                <c:pt idx="10">
                  <c:v>Brinco de ouro</c:v>
                </c:pt>
                <c:pt idx="11">
                  <c:v>Colar</c:v>
                </c:pt>
              </c:strCache>
            </c:strRef>
          </c:cat>
          <c:val>
            <c:numRef>
              <c:f>'Nova dinâmica'!$B$246:$B$258</c:f>
              <c:numCache>
                <c:formatCode>General</c:formatCode>
                <c:ptCount val="12"/>
                <c:pt idx="0">
                  <c:v>40</c:v>
                </c:pt>
                <c:pt idx="1">
                  <c:v>28</c:v>
                </c:pt>
                <c:pt idx="2">
                  <c:v>115</c:v>
                </c:pt>
                <c:pt idx="3">
                  <c:v>43</c:v>
                </c:pt>
                <c:pt idx="4">
                  <c:v>31</c:v>
                </c:pt>
                <c:pt idx="5">
                  <c:v>14</c:v>
                </c:pt>
                <c:pt idx="6">
                  <c:v>10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55-4737-8B3D-99DBA9EB821E}"/>
            </c:ext>
          </c:extLst>
        </c:ser>
        <c:ser>
          <c:idx val="1"/>
          <c:order val="1"/>
          <c:tx>
            <c:strRef>
              <c:f>'Nova dinâmica'!$C$245</c:f>
              <c:strCache>
                <c:ptCount val="1"/>
                <c:pt idx="0">
                  <c:v>Valor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'Nova dinâmica'!$A$246:$A$258</c:f>
              <c:strCache>
                <c:ptCount val="12"/>
                <c:pt idx="0">
                  <c:v>Colar de ouro</c:v>
                </c:pt>
                <c:pt idx="1">
                  <c:v>Colar de prata</c:v>
                </c:pt>
                <c:pt idx="2">
                  <c:v>Pingente de prata</c:v>
                </c:pt>
                <c:pt idx="3">
                  <c:v>Pulseira de ouro</c:v>
                </c:pt>
                <c:pt idx="4">
                  <c:v>Brinco de prata</c:v>
                </c:pt>
                <c:pt idx="5">
                  <c:v>Pulseira de prata</c:v>
                </c:pt>
                <c:pt idx="6">
                  <c:v>Tiara de ouro</c:v>
                </c:pt>
                <c:pt idx="7">
                  <c:v>Colar de pérolas</c:v>
                </c:pt>
                <c:pt idx="8">
                  <c:v>Tiara de prata</c:v>
                </c:pt>
                <c:pt idx="9">
                  <c:v>Pingente de ouro</c:v>
                </c:pt>
                <c:pt idx="10">
                  <c:v>Brinco de ouro</c:v>
                </c:pt>
                <c:pt idx="11">
                  <c:v>Colar</c:v>
                </c:pt>
              </c:strCache>
            </c:strRef>
          </c:cat>
          <c:val>
            <c:numRef>
              <c:f>'Nova dinâmica'!$C$246:$C$258</c:f>
              <c:numCache>
                <c:formatCode>"$"\ #.##000</c:formatCode>
                <c:ptCount val="12"/>
                <c:pt idx="0">
                  <c:v>3980</c:v>
                </c:pt>
                <c:pt idx="1">
                  <c:v>2562</c:v>
                </c:pt>
                <c:pt idx="2">
                  <c:v>1730.75</c:v>
                </c:pt>
                <c:pt idx="3">
                  <c:v>1526.5</c:v>
                </c:pt>
                <c:pt idx="4">
                  <c:v>573.5</c:v>
                </c:pt>
                <c:pt idx="5">
                  <c:v>418.59999999999997</c:v>
                </c:pt>
                <c:pt idx="6">
                  <c:v>389</c:v>
                </c:pt>
                <c:pt idx="7">
                  <c:v>257.70000000000005</c:v>
                </c:pt>
                <c:pt idx="8">
                  <c:v>131.6</c:v>
                </c:pt>
                <c:pt idx="9">
                  <c:v>56.699999999999996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55-4737-8B3D-99DBA9EB82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911573200"/>
        <c:axId val="1911576944"/>
      </c:barChart>
      <c:catAx>
        <c:axId val="1911573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1576944"/>
        <c:crosses val="autoZero"/>
        <c:auto val="1"/>
        <c:lblAlgn val="ctr"/>
        <c:lblOffset val="100"/>
        <c:noMultiLvlLbl val="0"/>
      </c:catAx>
      <c:valAx>
        <c:axId val="1911576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157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13" Type="http://schemas.openxmlformats.org/officeDocument/2006/relationships/hyperlink" Target="#Ent_Estoque!A1"/><Relationship Id="rId3" Type="http://schemas.openxmlformats.org/officeDocument/2006/relationships/image" Target="../media/image3.png"/><Relationship Id="rId7" Type="http://schemas.openxmlformats.org/officeDocument/2006/relationships/hyperlink" Target="#Cadastro_venda!A1"/><Relationship Id="rId12" Type="http://schemas.openxmlformats.org/officeDocument/2006/relationships/hyperlink" Target="#Base_Vendas!A1"/><Relationship Id="rId17" Type="http://schemas.openxmlformats.org/officeDocument/2006/relationships/hyperlink" Target="#Cadastro_Produto!A1"/><Relationship Id="rId2" Type="http://schemas.openxmlformats.org/officeDocument/2006/relationships/image" Target="../media/image2.png"/><Relationship Id="rId16" Type="http://schemas.openxmlformats.org/officeDocument/2006/relationships/hyperlink" Target="#Cadprodut!A1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#Estoque!A1"/><Relationship Id="rId5" Type="http://schemas.openxmlformats.org/officeDocument/2006/relationships/image" Target="../media/image5.png"/><Relationship Id="rId15" Type="http://schemas.openxmlformats.org/officeDocument/2006/relationships/image" Target="../media/image7.png"/><Relationship Id="rId10" Type="http://schemas.openxmlformats.org/officeDocument/2006/relationships/hyperlink" Target="#Saida!A1"/><Relationship Id="rId4" Type="http://schemas.openxmlformats.org/officeDocument/2006/relationships/image" Target="../media/image4.png"/><Relationship Id="rId9" Type="http://schemas.openxmlformats.org/officeDocument/2006/relationships/hyperlink" Target="#Entrada!A1"/><Relationship Id="rId14" Type="http://schemas.openxmlformats.org/officeDocument/2006/relationships/hyperlink" Target="#Sai_Estoqu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chart" Target="../charts/chart8.xml"/><Relationship Id="rId5" Type="http://schemas.openxmlformats.org/officeDocument/2006/relationships/hyperlink" Target="#Menu!A1"/><Relationship Id="rId10" Type="http://schemas.openxmlformats.org/officeDocument/2006/relationships/chart" Target="../charts/chart7.xml"/><Relationship Id="rId4" Type="http://schemas.openxmlformats.org/officeDocument/2006/relationships/chart" Target="../charts/chart4.xml"/><Relationship Id="rId9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561975</xdr:colOff>
      <xdr:row>9</xdr:row>
      <xdr:rowOff>180975</xdr:rowOff>
    </xdr:from>
    <xdr:to>
      <xdr:col>7</xdr:col>
      <xdr:colOff>389914</xdr:colOff>
      <xdr:row>15</xdr:row>
      <xdr:rowOff>85114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BFDC9DE-E4D6-45B5-AF4C-397544D13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1895475"/>
          <a:ext cx="1047139" cy="1047139"/>
        </a:xfrm>
        <a:prstGeom prst="rect">
          <a:avLst/>
        </a:prstGeom>
      </xdr:spPr>
    </xdr:pic>
    <xdr:clientData/>
  </xdr:twoCellAnchor>
  <xdr:twoCellAnchor editAs="oneCell">
    <xdr:from>
      <xdr:col>9</xdr:col>
      <xdr:colOff>485775</xdr:colOff>
      <xdr:row>15</xdr:row>
      <xdr:rowOff>38101</xdr:rowOff>
    </xdr:from>
    <xdr:to>
      <xdr:col>11</xdr:col>
      <xdr:colOff>578014</xdr:colOff>
      <xdr:row>22</xdr:row>
      <xdr:rowOff>16040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6F6172B-69D4-422B-9BAD-D557EAC7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2895601"/>
          <a:ext cx="1311439" cy="1311439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17</xdr:row>
      <xdr:rowOff>0</xdr:rowOff>
    </xdr:from>
    <xdr:to>
      <xdr:col>14</xdr:col>
      <xdr:colOff>537514</xdr:colOff>
      <xdr:row>19</xdr:row>
      <xdr:rowOff>99364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4FBD329-96B4-4E7B-9D47-4D85134E0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3238500"/>
          <a:ext cx="480364" cy="480364"/>
        </a:xfrm>
        <a:prstGeom prst="rect">
          <a:avLst/>
        </a:prstGeom>
      </xdr:spPr>
    </xdr:pic>
    <xdr:clientData/>
  </xdr:twoCellAnchor>
  <xdr:twoCellAnchor editAs="oneCell">
    <xdr:from>
      <xdr:col>5</xdr:col>
      <xdr:colOff>545251</xdr:colOff>
      <xdr:row>21</xdr:row>
      <xdr:rowOff>104775</xdr:rowOff>
    </xdr:from>
    <xdr:to>
      <xdr:col>7</xdr:col>
      <xdr:colOff>492147</xdr:colOff>
      <xdr:row>27</xdr:row>
      <xdr:rowOff>127871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E0D7E2A-5625-4271-9C2D-8CD41A7C5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3251" y="4105275"/>
          <a:ext cx="1166096" cy="1166096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</xdr:colOff>
      <xdr:row>10</xdr:row>
      <xdr:rowOff>28575</xdr:rowOff>
    </xdr:from>
    <xdr:to>
      <xdr:col>3</xdr:col>
      <xdr:colOff>228601</xdr:colOff>
      <xdr:row>15</xdr:row>
      <xdr:rowOff>114301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437261F-EB62-45FB-9A57-D6370F928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" y="1933575"/>
          <a:ext cx="1038226" cy="1038226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95250</xdr:colOff>
      <xdr:row>22</xdr:row>
      <xdr:rowOff>114300</xdr:rowOff>
    </xdr:from>
    <xdr:to>
      <xdr:col>14</xdr:col>
      <xdr:colOff>566089</xdr:colOff>
      <xdr:row>25</xdr:row>
      <xdr:rowOff>13639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DA00A9F5-5482-4D0E-979A-C313A5838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4305300"/>
          <a:ext cx="470839" cy="470839"/>
        </a:xfrm>
        <a:prstGeom prst="rect">
          <a:avLst/>
        </a:prstGeom>
      </xdr:spPr>
    </xdr:pic>
    <xdr:clientData/>
  </xdr:twoCellAnchor>
  <xdr:twoCellAnchor editAs="oneCell">
    <xdr:from>
      <xdr:col>14</xdr:col>
      <xdr:colOff>9524</xdr:colOff>
      <xdr:row>5</xdr:row>
      <xdr:rowOff>57149</xdr:rowOff>
    </xdr:from>
    <xdr:to>
      <xdr:col>14</xdr:col>
      <xdr:colOff>489889</xdr:colOff>
      <xdr:row>7</xdr:row>
      <xdr:rowOff>156514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C12802A-5595-45E9-8B47-9A96A99BF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4" y="1009649"/>
          <a:ext cx="480365" cy="480365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10</xdr:row>
      <xdr:rowOff>152400</xdr:rowOff>
    </xdr:from>
    <xdr:to>
      <xdr:col>14</xdr:col>
      <xdr:colOff>499415</xdr:colOff>
      <xdr:row>13</xdr:row>
      <xdr:rowOff>51740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630950AA-06AC-430E-9AD3-39078D58F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2057400"/>
          <a:ext cx="470840" cy="47084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7</xdr:row>
      <xdr:rowOff>76200</xdr:rowOff>
    </xdr:from>
    <xdr:to>
      <xdr:col>4</xdr:col>
      <xdr:colOff>104775</xdr:colOff>
      <xdr:row>17</xdr:row>
      <xdr:rowOff>38100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C815B1-6C9C-4510-AE4B-1A4FECC822A2}"/>
            </a:ext>
          </a:extLst>
        </xdr:cNvPr>
        <xdr:cNvSpPr/>
      </xdr:nvSpPr>
      <xdr:spPr>
        <a:xfrm>
          <a:off x="647700" y="1409700"/>
          <a:ext cx="1895475" cy="18669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ctr"/>
          <a:r>
            <a:rPr lang="pt-BR" sz="1600">
              <a:ln>
                <a:solidFill>
                  <a:srgbClr val="002060"/>
                </a:solidFill>
              </a:ln>
              <a:solidFill>
                <a:srgbClr val="002060"/>
              </a:solidFill>
            </a:rPr>
            <a:t>Cadastrar venda</a:t>
          </a:r>
        </a:p>
      </xdr:txBody>
    </xdr:sp>
    <xdr:clientData/>
  </xdr:twoCellAnchor>
  <xdr:twoCellAnchor>
    <xdr:from>
      <xdr:col>9</xdr:col>
      <xdr:colOff>152400</xdr:colOff>
      <xdr:row>12</xdr:row>
      <xdr:rowOff>85725</xdr:rowOff>
    </xdr:from>
    <xdr:to>
      <xdr:col>12</xdr:col>
      <xdr:colOff>219075</xdr:colOff>
      <xdr:row>22</xdr:row>
      <xdr:rowOff>180975</xdr:rowOff>
    </xdr:to>
    <xdr:sp macro="[0]!Atualização" textlink="">
      <xdr:nvSpPr>
        <xdr:cNvPr id="16" name="Retângulo: Cantos Arredondado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B26FBB4-AB2A-40B0-AA2A-DFA4AEA4248E}"/>
            </a:ext>
          </a:extLst>
        </xdr:cNvPr>
        <xdr:cNvSpPr/>
      </xdr:nvSpPr>
      <xdr:spPr>
        <a:xfrm>
          <a:off x="5638800" y="2371725"/>
          <a:ext cx="1895475" cy="2000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ctr"/>
          <a:r>
            <a:rPr lang="pt-BR" sz="16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Dashboard</a:t>
          </a:r>
        </a:p>
      </xdr:txBody>
    </xdr:sp>
    <xdr:clientData/>
  </xdr:twoCellAnchor>
  <xdr:twoCellAnchor>
    <xdr:from>
      <xdr:col>5</xdr:col>
      <xdr:colOff>152400</xdr:colOff>
      <xdr:row>19</xdr:row>
      <xdr:rowOff>38099</xdr:rowOff>
    </xdr:from>
    <xdr:to>
      <xdr:col>8</xdr:col>
      <xdr:colOff>219075</xdr:colOff>
      <xdr:row>28</xdr:row>
      <xdr:rowOff>104775</xdr:rowOff>
    </xdr:to>
    <xdr:sp macro="" textlink="">
      <xdr:nvSpPr>
        <xdr:cNvPr id="17" name="Retângulo: Cantos Arredondados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66E0762-E950-4965-BE6C-37B92672A6B8}"/>
            </a:ext>
          </a:extLst>
        </xdr:cNvPr>
        <xdr:cNvSpPr/>
      </xdr:nvSpPr>
      <xdr:spPr>
        <a:xfrm>
          <a:off x="3200400" y="3657599"/>
          <a:ext cx="1895475" cy="1781176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ctr"/>
          <a:r>
            <a:rPr lang="pt-BR" sz="14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Entrada no estoque</a:t>
          </a:r>
        </a:p>
      </xdr:txBody>
    </xdr:sp>
    <xdr:clientData/>
  </xdr:twoCellAnchor>
  <xdr:twoCellAnchor>
    <xdr:from>
      <xdr:col>5</xdr:col>
      <xdr:colOff>152400</xdr:colOff>
      <xdr:row>7</xdr:row>
      <xdr:rowOff>76200</xdr:rowOff>
    </xdr:from>
    <xdr:to>
      <xdr:col>8</xdr:col>
      <xdr:colOff>219075</xdr:colOff>
      <xdr:row>17</xdr:row>
      <xdr:rowOff>38100</xdr:rowOff>
    </xdr:to>
    <xdr:sp macro="" textlink="">
      <xdr:nvSpPr>
        <xdr:cNvPr id="18" name="Retângulo: Cantos Arredondados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A29C34-9251-4378-99BA-B96D8DA285F6}"/>
            </a:ext>
          </a:extLst>
        </xdr:cNvPr>
        <xdr:cNvSpPr/>
      </xdr:nvSpPr>
      <xdr:spPr>
        <a:xfrm>
          <a:off x="3200400" y="1409700"/>
          <a:ext cx="1895475" cy="18669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ctr"/>
          <a:r>
            <a:rPr lang="pt-BR" sz="1400">
              <a:ln>
                <a:solidFill>
                  <a:srgbClr val="002060"/>
                </a:solidFill>
              </a:ln>
              <a:solidFill>
                <a:srgbClr val="0070C0"/>
              </a:solidFill>
            </a:rPr>
            <a:t>Saída</a:t>
          </a:r>
          <a:r>
            <a:rPr lang="pt-BR" sz="1400" baseline="0">
              <a:ln>
                <a:solidFill>
                  <a:srgbClr val="002060"/>
                </a:solidFill>
              </a:ln>
              <a:solidFill>
                <a:srgbClr val="0070C0"/>
              </a:solidFill>
            </a:rPr>
            <a:t> do estoque</a:t>
          </a:r>
          <a:endParaRPr lang="pt-BR" sz="1400">
            <a:ln>
              <a:solidFill>
                <a:srgbClr val="002060"/>
              </a:solidFill>
            </a:ln>
            <a:solidFill>
              <a:srgbClr val="0070C0"/>
            </a:solidFill>
          </a:endParaRPr>
        </a:p>
      </xdr:txBody>
    </xdr:sp>
    <xdr:clientData/>
  </xdr:twoCellAnchor>
  <xdr:twoCellAnchor>
    <xdr:from>
      <xdr:col>15</xdr:col>
      <xdr:colOff>66675</xdr:colOff>
      <xdr:row>5</xdr:row>
      <xdr:rowOff>104775</xdr:rowOff>
    </xdr:from>
    <xdr:to>
      <xdr:col>17</xdr:col>
      <xdr:colOff>447675</xdr:colOff>
      <xdr:row>7</xdr:row>
      <xdr:rowOff>76200</xdr:rowOff>
    </xdr:to>
    <xdr:sp macro="" textlink="">
      <xdr:nvSpPr>
        <xdr:cNvPr id="19" name="Retângulo: Cantos Arredondados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FB625A0-EF14-4634-A321-E3E2EE243CAF}"/>
            </a:ext>
          </a:extLst>
        </xdr:cNvPr>
        <xdr:cNvSpPr/>
      </xdr:nvSpPr>
      <xdr:spPr>
        <a:xfrm>
          <a:off x="9210675" y="1057275"/>
          <a:ext cx="1600200" cy="3524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Base Estoque</a:t>
          </a:r>
        </a:p>
      </xdr:txBody>
    </xdr:sp>
    <xdr:clientData/>
  </xdr:twoCellAnchor>
  <xdr:twoCellAnchor>
    <xdr:from>
      <xdr:col>15</xdr:col>
      <xdr:colOff>57150</xdr:colOff>
      <xdr:row>10</xdr:row>
      <xdr:rowOff>180975</xdr:rowOff>
    </xdr:from>
    <xdr:to>
      <xdr:col>17</xdr:col>
      <xdr:colOff>466725</xdr:colOff>
      <xdr:row>12</xdr:row>
      <xdr:rowOff>152400</xdr:rowOff>
    </xdr:to>
    <xdr:sp macro="" textlink="">
      <xdr:nvSpPr>
        <xdr:cNvPr id="21" name="Retângulo: Cantos Arredondados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A3992D-F0D5-488E-829B-AD3A4D3FE882}"/>
            </a:ext>
          </a:extLst>
        </xdr:cNvPr>
        <xdr:cNvSpPr/>
      </xdr:nvSpPr>
      <xdr:spPr>
        <a:xfrm>
          <a:off x="9201150" y="2085975"/>
          <a:ext cx="1628775" cy="3524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Base Vendas</a:t>
          </a:r>
        </a:p>
      </xdr:txBody>
    </xdr:sp>
    <xdr:clientData/>
  </xdr:twoCellAnchor>
  <xdr:twoCellAnchor>
    <xdr:from>
      <xdr:col>15</xdr:col>
      <xdr:colOff>76200</xdr:colOff>
      <xdr:row>17</xdr:row>
      <xdr:rowOff>47625</xdr:rowOff>
    </xdr:from>
    <xdr:to>
      <xdr:col>17</xdr:col>
      <xdr:colOff>476250</xdr:colOff>
      <xdr:row>19</xdr:row>
      <xdr:rowOff>19050</xdr:rowOff>
    </xdr:to>
    <xdr:sp macro="" textlink="">
      <xdr:nvSpPr>
        <xdr:cNvPr id="22" name="Retângulo: Cantos Arredondados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66D66A8-EBCD-4106-B46C-39C7A6533AE5}"/>
            </a:ext>
          </a:extLst>
        </xdr:cNvPr>
        <xdr:cNvSpPr/>
      </xdr:nvSpPr>
      <xdr:spPr>
        <a:xfrm>
          <a:off x="9220200" y="3286125"/>
          <a:ext cx="1619250" cy="3524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Base</a:t>
          </a:r>
          <a:r>
            <a:rPr lang="pt-BR" sz="1200" baseline="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 estoque entrada</a:t>
          </a:r>
          <a:endParaRPr lang="pt-BR" sz="1200">
            <a:ln>
              <a:solidFill>
                <a:schemeClr val="accent1">
                  <a:shade val="50000"/>
                </a:schemeClr>
              </a:solidFill>
            </a:ln>
            <a:solidFill>
              <a:srgbClr val="002060"/>
            </a:solidFill>
          </a:endParaRPr>
        </a:p>
      </xdr:txBody>
    </xdr:sp>
    <xdr:clientData/>
  </xdr:twoCellAnchor>
  <xdr:twoCellAnchor>
    <xdr:from>
      <xdr:col>15</xdr:col>
      <xdr:colOff>114300</xdr:colOff>
      <xdr:row>22</xdr:row>
      <xdr:rowOff>142875</xdr:rowOff>
    </xdr:from>
    <xdr:to>
      <xdr:col>17</xdr:col>
      <xdr:colOff>533400</xdr:colOff>
      <xdr:row>24</xdr:row>
      <xdr:rowOff>114300</xdr:rowOff>
    </xdr:to>
    <xdr:sp macro="" textlink="">
      <xdr:nvSpPr>
        <xdr:cNvPr id="23" name="Retângulo: Cantos Arredondados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385FA0-D5E8-4B0A-AD7D-8BEBB7D8B129}"/>
            </a:ext>
          </a:extLst>
        </xdr:cNvPr>
        <xdr:cNvSpPr/>
      </xdr:nvSpPr>
      <xdr:spPr>
        <a:xfrm>
          <a:off x="9258300" y="4333875"/>
          <a:ext cx="1638300" cy="3524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Base Estoque</a:t>
          </a:r>
          <a:r>
            <a:rPr lang="pt-BR" sz="1200" baseline="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 Saida</a:t>
          </a:r>
          <a:endParaRPr lang="pt-BR" sz="1200">
            <a:ln>
              <a:solidFill>
                <a:schemeClr val="accent1">
                  <a:shade val="50000"/>
                </a:schemeClr>
              </a:solidFill>
            </a:ln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304800</xdr:colOff>
      <xdr:row>21</xdr:row>
      <xdr:rowOff>142875</xdr:rowOff>
    </xdr:from>
    <xdr:to>
      <xdr:col>3</xdr:col>
      <xdr:colOff>237801</xdr:colOff>
      <xdr:row>27</xdr:row>
      <xdr:rowOff>152076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BF0FDDB-ECE0-4B9B-BA26-4941D9601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4143375"/>
          <a:ext cx="1152201" cy="1152201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19</xdr:row>
      <xdr:rowOff>28575</xdr:rowOff>
    </xdr:from>
    <xdr:to>
      <xdr:col>4</xdr:col>
      <xdr:colOff>114300</xdr:colOff>
      <xdr:row>28</xdr:row>
      <xdr:rowOff>123825</xdr:rowOff>
    </xdr:to>
    <xdr:sp macro="" textlink="">
      <xdr:nvSpPr>
        <xdr:cNvPr id="24" name="Retângulo: Cantos Arredondados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FEE679E-A61A-424D-B213-7EA6D18663C8}"/>
            </a:ext>
          </a:extLst>
        </xdr:cNvPr>
        <xdr:cNvSpPr/>
      </xdr:nvSpPr>
      <xdr:spPr>
        <a:xfrm>
          <a:off x="657225" y="3648075"/>
          <a:ext cx="1895475" cy="18097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ctr"/>
          <a:r>
            <a:rPr lang="pt-BR" sz="16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Cadastrar produto</a:t>
          </a:r>
        </a:p>
      </xdr:txBody>
    </xdr:sp>
    <xdr:clientData/>
  </xdr:twoCellAnchor>
  <xdr:twoCellAnchor editAs="oneCell">
    <xdr:from>
      <xdr:col>14</xdr:col>
      <xdr:colOff>95250</xdr:colOff>
      <xdr:row>27</xdr:row>
      <xdr:rowOff>152400</xdr:rowOff>
    </xdr:from>
    <xdr:to>
      <xdr:col>14</xdr:col>
      <xdr:colOff>566089</xdr:colOff>
      <xdr:row>30</xdr:row>
      <xdr:rowOff>51739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2FB12A7B-6064-41A8-820B-DEE15E48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5295900"/>
          <a:ext cx="470839" cy="470839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27</xdr:row>
      <xdr:rowOff>180975</xdr:rowOff>
    </xdr:from>
    <xdr:to>
      <xdr:col>17</xdr:col>
      <xdr:colOff>552450</xdr:colOff>
      <xdr:row>29</xdr:row>
      <xdr:rowOff>152400</xdr:rowOff>
    </xdr:to>
    <xdr:sp macro="" textlink="">
      <xdr:nvSpPr>
        <xdr:cNvPr id="25" name="Retângulo: Cantos Arredondados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F131E4F-C3D9-4346-93B0-F92AA8F589C8}"/>
            </a:ext>
          </a:extLst>
        </xdr:cNvPr>
        <xdr:cNvSpPr/>
      </xdr:nvSpPr>
      <xdr:spPr>
        <a:xfrm>
          <a:off x="9258300" y="5324475"/>
          <a:ext cx="1657350" cy="3524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Base Cadastro</a:t>
          </a:r>
          <a:r>
            <a:rPr lang="pt-BR" sz="1200" baseline="0">
              <a:ln>
                <a:solidFill>
                  <a:schemeClr val="accent1">
                    <a:shade val="50000"/>
                  </a:schemeClr>
                </a:solidFill>
              </a:ln>
              <a:solidFill>
                <a:srgbClr val="002060"/>
              </a:solidFill>
            </a:rPr>
            <a:t> Produto</a:t>
          </a:r>
          <a:endParaRPr lang="pt-BR" sz="1200">
            <a:ln>
              <a:solidFill>
                <a:schemeClr val="accent1">
                  <a:shade val="50000"/>
                </a:schemeClr>
              </a:solidFill>
            </a:ln>
            <a:solidFill>
              <a:srgbClr val="002060"/>
            </a:solidFill>
          </a:endParaRPr>
        </a:p>
      </xdr:txBody>
    </xdr:sp>
    <xdr:clientData/>
  </xdr:twoCellAnchor>
  <xdr:twoCellAnchor>
    <xdr:from>
      <xdr:col>13</xdr:col>
      <xdr:colOff>485775</xdr:colOff>
      <xdr:row>5</xdr:row>
      <xdr:rowOff>0</xdr:rowOff>
    </xdr:from>
    <xdr:to>
      <xdr:col>18</xdr:col>
      <xdr:colOff>238125</xdr:colOff>
      <xdr:row>31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0A4D3B2-B933-482A-8A9D-4BC5FB8CD331}"/>
            </a:ext>
          </a:extLst>
        </xdr:cNvPr>
        <xdr:cNvSpPr/>
      </xdr:nvSpPr>
      <xdr:spPr>
        <a:xfrm>
          <a:off x="8410575" y="952500"/>
          <a:ext cx="2800350" cy="5000625"/>
        </a:xfrm>
        <a:prstGeom prst="rect">
          <a:avLst/>
        </a:prstGeom>
        <a:noFill/>
        <a:ln w="25400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400051</xdr:colOff>
      <xdr:row>4</xdr:row>
      <xdr:rowOff>85725</xdr:rowOff>
    </xdr:from>
    <xdr:to>
      <xdr:col>12</xdr:col>
      <xdr:colOff>552450</xdr:colOff>
      <xdr:row>30</xdr:row>
      <xdr:rowOff>133350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105AE6BA-9D75-41CF-9DC4-509D6C9C6B3E}"/>
            </a:ext>
          </a:extLst>
        </xdr:cNvPr>
        <xdr:cNvSpPr/>
      </xdr:nvSpPr>
      <xdr:spPr>
        <a:xfrm>
          <a:off x="400051" y="847725"/>
          <a:ext cx="7467599" cy="5000625"/>
        </a:xfrm>
        <a:prstGeom prst="rect">
          <a:avLst/>
        </a:prstGeom>
        <a:noFill/>
        <a:ln w="25400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</xdr:colOff>
      <xdr:row>18</xdr:row>
      <xdr:rowOff>61384</xdr:rowOff>
    </xdr:from>
    <xdr:to>
      <xdr:col>62</xdr:col>
      <xdr:colOff>1</xdr:colOff>
      <xdr:row>29</xdr:row>
      <xdr:rowOff>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8635FACA-962D-40D6-AFF8-5A7F6119E0B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twoCellAnchor>
  <xdr:twoCellAnchor>
    <xdr:from>
      <xdr:col>1</xdr:col>
      <xdr:colOff>52916</xdr:colOff>
      <xdr:row>6</xdr:row>
      <xdr:rowOff>127001</xdr:rowOff>
    </xdr:from>
    <xdr:to>
      <xdr:col>14</xdr:col>
      <xdr:colOff>97369</xdr:colOff>
      <xdr:row>9</xdr:row>
      <xdr:rowOff>137585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F7F5534-0A22-4E10-B02B-24E48AF35F7A}"/>
            </a:ext>
          </a:extLst>
        </xdr:cNvPr>
        <xdr:cNvSpPr/>
      </xdr:nvSpPr>
      <xdr:spPr>
        <a:xfrm>
          <a:off x="169333" y="1143001"/>
          <a:ext cx="1557869" cy="58208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/>
        </a:p>
      </xdr:txBody>
    </xdr:sp>
    <xdr:clientData/>
  </xdr:twoCellAnchor>
  <xdr:twoCellAnchor>
    <xdr:from>
      <xdr:col>1</xdr:col>
      <xdr:colOff>59257</xdr:colOff>
      <xdr:row>10</xdr:row>
      <xdr:rowOff>116418</xdr:rowOff>
    </xdr:from>
    <xdr:to>
      <xdr:col>14</xdr:col>
      <xdr:colOff>116414</xdr:colOff>
      <xdr:row>13</xdr:row>
      <xdr:rowOff>116416</xdr:rowOff>
    </xdr:to>
    <xdr:sp macro="" textlink="$EI$3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2C37D06-25D5-4627-9C55-1450BDEB6023}"/>
            </a:ext>
          </a:extLst>
        </xdr:cNvPr>
        <xdr:cNvSpPr/>
      </xdr:nvSpPr>
      <xdr:spPr>
        <a:xfrm>
          <a:off x="175674" y="1894418"/>
          <a:ext cx="1570573" cy="571498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  <a:p>
          <a:pPr algn="ctr"/>
          <a:endParaRPr lang="en-US">
            <a:solidFill>
              <a:srgbClr val="00B050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124883</xdr:rowOff>
    </xdr:from>
    <xdr:to>
      <xdr:col>48</xdr:col>
      <xdr:colOff>71646</xdr:colOff>
      <xdr:row>18</xdr:row>
      <xdr:rowOff>10583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3011A33-8242-41C2-9706-7AB5AE23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0</xdr:colOff>
      <xdr:row>7</xdr:row>
      <xdr:rowOff>127000</xdr:rowOff>
    </xdr:from>
    <xdr:to>
      <xdr:col>93</xdr:col>
      <xdr:colOff>65614</xdr:colOff>
      <xdr:row>18</xdr:row>
      <xdr:rowOff>10583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ED1CDE2B-FC19-4F78-BB0B-82F7B93AA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94</xdr:col>
      <xdr:colOff>0</xdr:colOff>
      <xdr:row>7</xdr:row>
      <xdr:rowOff>127002</xdr:rowOff>
    </xdr:from>
    <xdr:to>
      <xdr:col>119</xdr:col>
      <xdr:colOff>0</xdr:colOff>
      <xdr:row>18</xdr:row>
      <xdr:rowOff>21169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72CEAEC-B371-4533-B797-A428C4EBA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36</xdr:col>
      <xdr:colOff>42334</xdr:colOff>
      <xdr:row>1</xdr:row>
      <xdr:rowOff>0</xdr:rowOff>
    </xdr:from>
    <xdr:to>
      <xdr:col>90</xdr:col>
      <xdr:colOff>0</xdr:colOff>
      <xdr:row>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Produto">
              <a:extLst>
                <a:ext uri="{FF2B5EF4-FFF2-40B4-BE49-F238E27FC236}">
                  <a16:creationId xmlns:a16="http://schemas.microsoft.com/office/drawing/2014/main" id="{F8693069-1DEF-4DF4-B89D-4B6FA8452D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3334" y="52917"/>
              <a:ext cx="6244166" cy="1248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84665</xdr:colOff>
      <xdr:row>3</xdr:row>
      <xdr:rowOff>42333</xdr:rowOff>
    </xdr:from>
    <xdr:to>
      <xdr:col>6</xdr:col>
      <xdr:colOff>63499</xdr:colOff>
      <xdr:row>5</xdr:row>
      <xdr:rowOff>105834</xdr:rowOff>
    </xdr:to>
    <xdr:pic>
      <xdr:nvPicPr>
        <xdr:cNvPr id="42" name="Imagem 4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776DED-90E4-459C-8C94-C1A7BCF0B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498" y="486833"/>
          <a:ext cx="444501" cy="444501"/>
        </a:xfrm>
        <a:prstGeom prst="rect">
          <a:avLst/>
        </a:prstGeom>
      </xdr:spPr>
    </xdr:pic>
    <xdr:clientData/>
  </xdr:twoCellAnchor>
  <xdr:twoCellAnchor editAs="oneCell">
    <xdr:from>
      <xdr:col>10</xdr:col>
      <xdr:colOff>84664</xdr:colOff>
      <xdr:row>3</xdr:row>
      <xdr:rowOff>74083</xdr:rowOff>
    </xdr:from>
    <xdr:to>
      <xdr:col>14</xdr:col>
      <xdr:colOff>10581</xdr:colOff>
      <xdr:row>5</xdr:row>
      <xdr:rowOff>84666</xdr:rowOff>
    </xdr:to>
    <xdr:pic macro="[0]!Atualização">
      <xdr:nvPicPr>
        <xdr:cNvPr id="43" name="Imagem 42">
          <a:extLst>
            <a:ext uri="{FF2B5EF4-FFF2-40B4-BE49-F238E27FC236}">
              <a16:creationId xmlns:a16="http://schemas.microsoft.com/office/drawing/2014/main" id="{34141452-978F-4041-A037-D40C3D32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831" y="518583"/>
          <a:ext cx="391583" cy="391583"/>
        </a:xfrm>
        <a:prstGeom prst="rect">
          <a:avLst/>
        </a:prstGeom>
      </xdr:spPr>
    </xdr:pic>
    <xdr:clientData/>
  </xdr:twoCellAnchor>
  <xdr:twoCellAnchor editAs="oneCell">
    <xdr:from>
      <xdr:col>16</xdr:col>
      <xdr:colOff>116415</xdr:colOff>
      <xdr:row>1</xdr:row>
      <xdr:rowOff>0</xdr:rowOff>
    </xdr:from>
    <xdr:to>
      <xdr:col>36</xdr:col>
      <xdr:colOff>0</xdr:colOff>
      <xdr:row>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Data (Mês)">
              <a:extLst>
                <a:ext uri="{FF2B5EF4-FFF2-40B4-BE49-F238E27FC236}">
                  <a16:creationId xmlns:a16="http://schemas.microsoft.com/office/drawing/2014/main" id="{286B20EC-65F5-47E6-8416-3B9BE13DAD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9082" y="52917"/>
              <a:ext cx="2211918" cy="1248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90</xdr:col>
      <xdr:colOff>42333</xdr:colOff>
      <xdr:row>1</xdr:row>
      <xdr:rowOff>0</xdr:rowOff>
    </xdr:from>
    <xdr:to>
      <xdr:col>106</xdr:col>
      <xdr:colOff>0</xdr:colOff>
      <xdr:row>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Canal vendas">
              <a:extLst>
                <a:ext uri="{FF2B5EF4-FFF2-40B4-BE49-F238E27FC236}">
                  <a16:creationId xmlns:a16="http://schemas.microsoft.com/office/drawing/2014/main" id="{EAAF8062-A74C-4678-A089-7104F1F772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vend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19833" y="52917"/>
              <a:ext cx="1820334" cy="1248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106</xdr:col>
      <xdr:colOff>42335</xdr:colOff>
      <xdr:row>0</xdr:row>
      <xdr:rowOff>52916</xdr:rowOff>
    </xdr:from>
    <xdr:to>
      <xdr:col>119</xdr:col>
      <xdr:colOff>0</xdr:colOff>
      <xdr:row>7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Forma de pgto">
              <a:extLst>
                <a:ext uri="{FF2B5EF4-FFF2-40B4-BE49-F238E27FC236}">
                  <a16:creationId xmlns:a16="http://schemas.microsoft.com/office/drawing/2014/main" id="{2FB25EDF-5197-4FF2-987A-53834FAE92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de pg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02" y="52916"/>
              <a:ext cx="1968498" cy="1248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94</xdr:col>
      <xdr:colOff>0</xdr:colOff>
      <xdr:row>18</xdr:row>
      <xdr:rowOff>74083</xdr:rowOff>
    </xdr:from>
    <xdr:to>
      <xdr:col>118</xdr:col>
      <xdr:colOff>613832</xdr:colOff>
      <xdr:row>29</xdr:row>
      <xdr:rowOff>1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46B18223-9C5E-425A-A1D3-9D7904476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1</xdr:colOff>
      <xdr:row>18</xdr:row>
      <xdr:rowOff>63501</xdr:rowOff>
    </xdr:from>
    <xdr:to>
      <xdr:col>93</xdr:col>
      <xdr:colOff>63499</xdr:colOff>
      <xdr:row>29</xdr:row>
      <xdr:rowOff>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83D69000-C677-43CA-82FF-683AE37CB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</xdr:row>
      <xdr:rowOff>105834</xdr:rowOff>
    </xdr:from>
    <xdr:to>
      <xdr:col>7</xdr:col>
      <xdr:colOff>84666</xdr:colOff>
      <xdr:row>6</xdr:row>
      <xdr:rowOff>10584</xdr:rowOff>
    </xdr:to>
    <xdr:sp macro="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8BBC852F-D7CE-4BC8-8F9F-485D48BAC61F}"/>
            </a:ext>
          </a:extLst>
        </xdr:cNvPr>
        <xdr:cNvSpPr/>
      </xdr:nvSpPr>
      <xdr:spPr>
        <a:xfrm>
          <a:off x="116417" y="158751"/>
          <a:ext cx="783166" cy="867833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>
              <a:solidFill>
                <a:srgbClr val="00B050"/>
              </a:solidFill>
            </a:rPr>
            <a:t>Menu</a:t>
          </a:r>
        </a:p>
      </xdr:txBody>
    </xdr:sp>
    <xdr:clientData/>
  </xdr:twoCellAnchor>
  <xdr:twoCellAnchor>
    <xdr:from>
      <xdr:col>9</xdr:col>
      <xdr:colOff>0</xdr:colOff>
      <xdr:row>1</xdr:row>
      <xdr:rowOff>105833</xdr:rowOff>
    </xdr:from>
    <xdr:to>
      <xdr:col>15</xdr:col>
      <xdr:colOff>95251</xdr:colOff>
      <xdr:row>6</xdr:row>
      <xdr:rowOff>21166</xdr:rowOff>
    </xdr:to>
    <xdr:sp macro="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728370F8-BC22-406A-9A4E-1A9A47543898}"/>
            </a:ext>
          </a:extLst>
        </xdr:cNvPr>
        <xdr:cNvSpPr/>
      </xdr:nvSpPr>
      <xdr:spPr>
        <a:xfrm>
          <a:off x="1047750" y="158750"/>
          <a:ext cx="793751" cy="878416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>
              <a:solidFill>
                <a:srgbClr val="00B050"/>
              </a:solidFill>
            </a:rPr>
            <a:t>Atualizar</a:t>
          </a:r>
        </a:p>
      </xdr:txBody>
    </xdr:sp>
    <xdr:clientData/>
  </xdr:twoCellAnchor>
  <xdr:twoCellAnchor>
    <xdr:from>
      <xdr:col>17</xdr:col>
      <xdr:colOff>0</xdr:colOff>
      <xdr:row>29</xdr:row>
      <xdr:rowOff>50801</xdr:rowOff>
    </xdr:from>
    <xdr:to>
      <xdr:col>69</xdr:col>
      <xdr:colOff>63499</xdr:colOff>
      <xdr:row>43</xdr:row>
      <xdr:rowOff>0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F8ED5BFE-C3F5-4F62-82EA-841277149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116416</xdr:colOff>
      <xdr:row>29</xdr:row>
      <xdr:rowOff>63498</xdr:rowOff>
    </xdr:from>
    <xdr:to>
      <xdr:col>118</xdr:col>
      <xdr:colOff>613832</xdr:colOff>
      <xdr:row>43</xdr:row>
      <xdr:rowOff>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8D0B913F-B392-4B10-B788-548D81ECB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63502</xdr:colOff>
      <xdr:row>14</xdr:row>
      <xdr:rowOff>84666</xdr:rowOff>
    </xdr:from>
    <xdr:to>
      <xdr:col>15</xdr:col>
      <xdr:colOff>4242</xdr:colOff>
      <xdr:row>17</xdr:row>
      <xdr:rowOff>84664</xdr:rowOff>
    </xdr:to>
    <xdr:sp macro="" textlink="$EI$3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A1ACED1-87D2-4AD6-A98E-13EA47305993}"/>
            </a:ext>
          </a:extLst>
        </xdr:cNvPr>
        <xdr:cNvSpPr/>
      </xdr:nvSpPr>
      <xdr:spPr>
        <a:xfrm>
          <a:off x="179919" y="2624666"/>
          <a:ext cx="1570573" cy="571498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  <a:p>
          <a:pPr algn="ctr"/>
          <a:endParaRPr lang="en-US">
            <a:solidFill>
              <a:srgbClr val="00B050"/>
            </a:solidFill>
          </a:endParaRPr>
        </a:p>
      </xdr:txBody>
    </xdr:sp>
    <xdr:clientData/>
  </xdr:twoCellAnchor>
  <xdr:twoCellAnchor>
    <xdr:from>
      <xdr:col>1</xdr:col>
      <xdr:colOff>84668</xdr:colOff>
      <xdr:row>18</xdr:row>
      <xdr:rowOff>74083</xdr:rowOff>
    </xdr:from>
    <xdr:to>
      <xdr:col>15</xdr:col>
      <xdr:colOff>25408</xdr:colOff>
      <xdr:row>21</xdr:row>
      <xdr:rowOff>74081</xdr:rowOff>
    </xdr:to>
    <xdr:sp macro="" textlink="$EI$3">
      <xdr:nvSpPr>
        <xdr:cNvPr id="25" name="Retângulo: Cantos Arredondados 24">
          <a:extLst>
            <a:ext uri="{FF2B5EF4-FFF2-40B4-BE49-F238E27FC236}">
              <a16:creationId xmlns:a16="http://schemas.microsoft.com/office/drawing/2014/main" id="{682BA4A3-4AD8-4D95-B1DB-A425A45BCCE3}"/>
            </a:ext>
          </a:extLst>
        </xdr:cNvPr>
        <xdr:cNvSpPr/>
      </xdr:nvSpPr>
      <xdr:spPr>
        <a:xfrm>
          <a:off x="201085" y="3376083"/>
          <a:ext cx="1570573" cy="571498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  <a:p>
          <a:pPr algn="ctr"/>
          <a:endParaRPr lang="en-US">
            <a:solidFill>
              <a:srgbClr val="00B050"/>
            </a:solidFill>
          </a:endParaRPr>
        </a:p>
      </xdr:txBody>
    </xdr:sp>
    <xdr:clientData/>
  </xdr:twoCellAnchor>
  <xdr:twoCellAnchor>
    <xdr:from>
      <xdr:col>1</xdr:col>
      <xdr:colOff>74084</xdr:colOff>
      <xdr:row>22</xdr:row>
      <xdr:rowOff>74079</xdr:rowOff>
    </xdr:from>
    <xdr:to>
      <xdr:col>15</xdr:col>
      <xdr:colOff>14824</xdr:colOff>
      <xdr:row>25</xdr:row>
      <xdr:rowOff>74077</xdr:rowOff>
    </xdr:to>
    <xdr:sp macro="" textlink="$EI$3">
      <xdr:nvSpPr>
        <xdr:cNvPr id="27" name="Retângulo: Cantos Arredondados 26">
          <a:extLst>
            <a:ext uri="{FF2B5EF4-FFF2-40B4-BE49-F238E27FC236}">
              <a16:creationId xmlns:a16="http://schemas.microsoft.com/office/drawing/2014/main" id="{E70972FD-4137-4144-AFC4-4A916D4BA735}"/>
            </a:ext>
          </a:extLst>
        </xdr:cNvPr>
        <xdr:cNvSpPr/>
      </xdr:nvSpPr>
      <xdr:spPr>
        <a:xfrm>
          <a:off x="190501" y="4138079"/>
          <a:ext cx="1570573" cy="571498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  <a:p>
          <a:pPr algn="ctr"/>
          <a:endParaRPr lang="en-US">
            <a:solidFill>
              <a:srgbClr val="00B050"/>
            </a:solidFill>
          </a:endParaRPr>
        </a:p>
      </xdr:txBody>
    </xdr:sp>
    <xdr:clientData/>
  </xdr:twoCellAnchor>
  <xdr:twoCellAnchor>
    <xdr:from>
      <xdr:col>1</xdr:col>
      <xdr:colOff>63500</xdr:colOff>
      <xdr:row>26</xdr:row>
      <xdr:rowOff>84665</xdr:rowOff>
    </xdr:from>
    <xdr:to>
      <xdr:col>15</xdr:col>
      <xdr:colOff>4240</xdr:colOff>
      <xdr:row>29</xdr:row>
      <xdr:rowOff>84663</xdr:rowOff>
    </xdr:to>
    <xdr:sp macro="" textlink="$EI$3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506CDE1-0AE3-4AAA-9735-C2F2B0A88BBF}"/>
            </a:ext>
          </a:extLst>
        </xdr:cNvPr>
        <xdr:cNvSpPr/>
      </xdr:nvSpPr>
      <xdr:spPr>
        <a:xfrm>
          <a:off x="179917" y="4910665"/>
          <a:ext cx="1570573" cy="571498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 i="0" u="none" strike="noStrike">
            <a:solidFill>
              <a:srgbClr val="000000"/>
            </a:solidFill>
            <a:latin typeface="Calibri"/>
            <a:cs typeface="Calibri"/>
          </a:endParaRPr>
        </a:p>
        <a:p>
          <a:pPr algn="ctr"/>
          <a:endParaRPr lang="en-US">
            <a:solidFill>
              <a:srgbClr val="00B05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14</xdr:row>
      <xdr:rowOff>0</xdr:rowOff>
    </xdr:from>
    <xdr:to>
      <xdr:col>5</xdr:col>
      <xdr:colOff>1514475</xdr:colOff>
      <xdr:row>16</xdr:row>
      <xdr:rowOff>28575</xdr:rowOff>
    </xdr:to>
    <xdr:sp macro="[0]!Cadastrar_Esto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603CED8-1E67-4CB9-840A-A7264722AB77}"/>
            </a:ext>
          </a:extLst>
        </xdr:cNvPr>
        <xdr:cNvSpPr/>
      </xdr:nvSpPr>
      <xdr:spPr>
        <a:xfrm>
          <a:off x="2571750" y="2667000"/>
          <a:ext cx="15240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Lançar</a:t>
          </a:r>
          <a:r>
            <a:rPr lang="pt-BR" sz="1600" baseline="0"/>
            <a:t> entrada</a:t>
          </a:r>
          <a:endParaRPr lang="pt-BR" sz="1600"/>
        </a:p>
      </xdr:txBody>
    </xdr:sp>
    <xdr:clientData/>
  </xdr:twoCellAnchor>
  <xdr:twoCellAnchor editAs="oneCell">
    <xdr:from>
      <xdr:col>8</xdr:col>
      <xdr:colOff>457200</xdr:colOff>
      <xdr:row>1</xdr:row>
      <xdr:rowOff>0</xdr:rowOff>
    </xdr:from>
    <xdr:to>
      <xdr:col>9</xdr:col>
      <xdr:colOff>335096</xdr:colOff>
      <xdr:row>3</xdr:row>
      <xdr:rowOff>106496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8CF56C-971F-4107-B754-AAAFFDCCC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5" y="190500"/>
          <a:ext cx="487496" cy="487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14</xdr:row>
      <xdr:rowOff>0</xdr:rowOff>
    </xdr:from>
    <xdr:to>
      <xdr:col>5</xdr:col>
      <xdr:colOff>1200150</xdr:colOff>
      <xdr:row>16</xdr:row>
      <xdr:rowOff>28575</xdr:rowOff>
    </xdr:to>
    <xdr:sp macro="[0]!Sai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2060D2C-A872-403A-835A-ACB305FA7150}"/>
            </a:ext>
          </a:extLst>
        </xdr:cNvPr>
        <xdr:cNvSpPr/>
      </xdr:nvSpPr>
      <xdr:spPr>
        <a:xfrm>
          <a:off x="2571750" y="2667000"/>
          <a:ext cx="12096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Lançar Saida</a:t>
          </a:r>
        </a:p>
      </xdr:txBody>
    </xdr:sp>
    <xdr:clientData/>
  </xdr:twoCellAnchor>
  <xdr:twoCellAnchor editAs="oneCell">
    <xdr:from>
      <xdr:col>8</xdr:col>
      <xdr:colOff>571500</xdr:colOff>
      <xdr:row>0</xdr:row>
      <xdr:rowOff>171450</xdr:rowOff>
    </xdr:from>
    <xdr:to>
      <xdr:col>9</xdr:col>
      <xdr:colOff>449396</xdr:colOff>
      <xdr:row>3</xdr:row>
      <xdr:rowOff>87446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D671C8-EC51-4AF2-9170-E10F4605F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171450"/>
          <a:ext cx="487496" cy="4874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933451</xdr:colOff>
      <xdr:row>11</xdr:row>
      <xdr:rowOff>19051</xdr:rowOff>
    </xdr:from>
    <xdr:to>
      <xdr:col>12</xdr:col>
      <xdr:colOff>123826</xdr:colOff>
      <xdr:row>13</xdr:row>
      <xdr:rowOff>95251</xdr:rowOff>
    </xdr:to>
    <xdr:sp macro="[0]!Cadastrar_Ven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887A2B-CF5F-4240-8C14-9912BB778CC4}"/>
            </a:ext>
          </a:extLst>
        </xdr:cNvPr>
        <xdr:cNvSpPr/>
      </xdr:nvSpPr>
      <xdr:spPr>
        <a:xfrm>
          <a:off x="5191126" y="2000251"/>
          <a:ext cx="13906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Finalizar pedido</a:t>
          </a:r>
        </a:p>
      </xdr:txBody>
    </xdr:sp>
    <xdr:clientData/>
  </xdr:twoCellAnchor>
  <xdr:twoCellAnchor editAs="oneCell">
    <xdr:from>
      <xdr:col>28</xdr:col>
      <xdr:colOff>142875</xdr:colOff>
      <xdr:row>0</xdr:row>
      <xdr:rowOff>66675</xdr:rowOff>
    </xdr:from>
    <xdr:to>
      <xdr:col>29</xdr:col>
      <xdr:colOff>20771</xdr:colOff>
      <xdr:row>3</xdr:row>
      <xdr:rowOff>96971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F822BE-5813-4AC7-BCA3-BF9EAF7F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66675"/>
          <a:ext cx="487496" cy="4874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13</xdr:row>
      <xdr:rowOff>0</xdr:rowOff>
    </xdr:from>
    <xdr:to>
      <xdr:col>5</xdr:col>
      <xdr:colOff>1200150</xdr:colOff>
      <xdr:row>15</xdr:row>
      <xdr:rowOff>28575</xdr:rowOff>
    </xdr:to>
    <xdr:sp macro="[0]!Cadast_Prod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4869B1-C58A-4879-A8DB-0B462F318B69}"/>
            </a:ext>
          </a:extLst>
        </xdr:cNvPr>
        <xdr:cNvSpPr/>
      </xdr:nvSpPr>
      <xdr:spPr>
        <a:xfrm>
          <a:off x="2571750" y="2667000"/>
          <a:ext cx="12096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Cadastrar</a:t>
          </a:r>
        </a:p>
      </xdr:txBody>
    </xdr:sp>
    <xdr:clientData/>
  </xdr:twoCellAnchor>
  <xdr:twoCellAnchor editAs="oneCell">
    <xdr:from>
      <xdr:col>8</xdr:col>
      <xdr:colOff>419100</xdr:colOff>
      <xdr:row>0</xdr:row>
      <xdr:rowOff>114300</xdr:rowOff>
    </xdr:from>
    <xdr:to>
      <xdr:col>9</xdr:col>
      <xdr:colOff>296996</xdr:colOff>
      <xdr:row>3</xdr:row>
      <xdr:rowOff>30296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1C9BF8-E0AD-43CA-8F29-F0C41C4DD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5" y="114300"/>
          <a:ext cx="487496" cy="4874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180975</xdr:colOff>
      <xdr:row>0</xdr:row>
      <xdr:rowOff>57150</xdr:rowOff>
    </xdr:from>
    <xdr:to>
      <xdr:col>7</xdr:col>
      <xdr:colOff>58871</xdr:colOff>
      <xdr:row>2</xdr:row>
      <xdr:rowOff>163646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57BBC3-9129-4880-A3B6-430447412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57150"/>
          <a:ext cx="487496" cy="4874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</xdr:colOff>
      <xdr:row>0</xdr:row>
      <xdr:rowOff>85725</xdr:rowOff>
    </xdr:from>
    <xdr:to>
      <xdr:col>6</xdr:col>
      <xdr:colOff>571500</xdr:colOff>
      <xdr:row>2</xdr:row>
      <xdr:rowOff>104775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97C99-8DF4-4B3A-9B2A-3D772978A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425" y="85725"/>
          <a:ext cx="447675" cy="4000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152400</xdr:colOff>
      <xdr:row>0</xdr:row>
      <xdr:rowOff>38099</xdr:rowOff>
    </xdr:from>
    <xdr:to>
      <xdr:col>5</xdr:col>
      <xdr:colOff>0</xdr:colOff>
      <xdr:row>2</xdr:row>
      <xdr:rowOff>65660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F6B471-C61D-46D5-A501-E06672193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3425" y="38099"/>
          <a:ext cx="457200" cy="40856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122104</xdr:colOff>
      <xdr:row>0</xdr:row>
      <xdr:rowOff>9525</xdr:rowOff>
    </xdr:from>
    <xdr:to>
      <xdr:col>8</xdr:col>
      <xdr:colOff>0</xdr:colOff>
      <xdr:row>1</xdr:row>
      <xdr:rowOff>66675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CAFD90-CB38-4E30-B999-79F7D081B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7304" y="9525"/>
          <a:ext cx="487496" cy="3524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122104</xdr:colOff>
      <xdr:row>0</xdr:row>
      <xdr:rowOff>133350</xdr:rowOff>
    </xdr:from>
    <xdr:to>
      <xdr:col>19</xdr:col>
      <xdr:colOff>0</xdr:colOff>
      <xdr:row>3</xdr:row>
      <xdr:rowOff>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49302C-C701-4EFF-99BC-005E377BC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2279" y="133350"/>
          <a:ext cx="487496" cy="485775"/>
        </a:xfrm>
        <a:prstGeom prst="rect">
          <a:avLst/>
        </a:prstGeom>
      </xdr:spPr>
    </xdr:pic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0737037037" backgroundQuery="1" createdVersion="6" refreshedVersion="6" minRefreshableVersion="3" recordCount="0" supportSubquery="1" supportAdvancedDrill="1" xr:uid="{EAC35390-1173-4266-84E1-D038B756A596}">
  <cacheSource type="external" connectionId="1"/>
  <cacheFields count="3">
    <cacheField name="[Tabela4].[Produto].[Produto]" caption="Produto" numFmtId="0" hierarchy="22" level="1">
      <sharedItems count="12">
        <s v="Brinco de ouro"/>
        <s v="Brinco de prata"/>
        <s v="Colar"/>
        <s v="Colar de ouro"/>
        <s v="Colar de pérolas"/>
        <s v="Colar de prata"/>
        <s v="Pingente de ouro"/>
        <s v="Pingente de prata"/>
        <s v="Pulseira de ouro"/>
        <s v="Pulseira de prata"/>
        <s v="Tiara de ouro"/>
        <s v="Tiara de prata"/>
      </sharedItems>
    </cacheField>
    <cacheField name="[Measures].[Soma de Saldo total]" caption="Soma de Saldo total" numFmtId="0" hierarchy="53" level="32767"/>
    <cacheField name="[Measures].[Soma de Total Estoque]" caption="Soma de Total Estoque" numFmtId="0" hierarchy="54" level="32767"/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0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0" memberValueDatatype="130" unbalanced="0"/>
    <cacheHierarchy uniqueName="[Tabela3].[Canal vendas]" caption="Canal vendas" attribute="1" defaultMemberUniqueName="[Tabela3].[Canal vendas].[All]" allUniqueName="[Tabela3].[Canal vendas].[All]" dimensionUniqueName="[Tabela3]" displayFolder="" count="0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0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2" memberValueDatatype="130" unbalanced="0">
      <fieldsUsage count="2">
        <fieldUsage x="-1"/>
        <fieldUsage x="0"/>
      </fieldsUsage>
    </cacheHierarchy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0" memberValueDatatype="130" unbalanced="0"/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ones" refreshedDate="44227.610738541669" createdVersion="6" refreshedVersion="6" minRefreshableVersion="3" recordCount="145" xr:uid="{C51EE37D-63B5-49E4-A5BB-7E961D96A449}">
  <cacheSource type="worksheet">
    <worksheetSource name="Tabela3"/>
  </cacheSource>
  <cacheFields count="18">
    <cacheField name="Data" numFmtId="166">
      <sharedItems containsSemiMixedTypes="0" containsNonDate="0" containsDate="1" containsString="0" minDate="2020-09-01T00:00:00" maxDate="2021-02-01T00:00:00"/>
    </cacheField>
    <cacheField name="Código" numFmtId="0">
      <sharedItems containsMixedTypes="1" containsNumber="1" containsInteger="1" minValue="1001" maxValue="1010"/>
    </cacheField>
    <cacheField name="Produto" numFmtId="0">
      <sharedItems containsBlank="1" count="11">
        <s v="Brinco de ouro"/>
        <s v="Colar de pérolas"/>
        <m/>
        <s v="Tiara de prata"/>
        <s v="Colar de ouro"/>
        <s v="Brinco de prata"/>
        <s v="Colar de prata"/>
        <s v="Pulseira de ouro"/>
        <s v="Pulseira de prata"/>
        <s v="Tiara de ouro"/>
        <s v="Pingente de ouro"/>
      </sharedItems>
    </cacheField>
    <cacheField name="Quantidade" numFmtId="0">
      <sharedItems containsString="0" containsBlank="1" containsNumber="1" containsInteger="1" minValue="1" maxValue="10"/>
    </cacheField>
    <cacheField name="Valor Unitário" numFmtId="164">
      <sharedItems containsString="0" containsBlank="1" containsNumber="1" minValue="45" maxValue="200"/>
    </cacheField>
    <cacheField name="Valor total" numFmtId="164">
      <sharedItems containsSemiMixedTypes="0" containsString="0" containsNumber="1" minValue="0" maxValue="955"/>
    </cacheField>
    <cacheField name="Custo unitário" numFmtId="164">
      <sharedItems containsMixedTypes="1" containsNumber="1" minValue="18.5" maxValue="99.5"/>
    </cacheField>
    <cacheField name="Custo total" numFmtId="164">
      <sharedItems containsMixedTypes="1" containsNumber="1" minValue="18.5" maxValue="457.5"/>
    </cacheField>
    <cacheField name="Dif custo tot x venda" numFmtId="165">
      <sharedItems containsMixedTypes="1" containsNumber="1" minValue="11.100000000000001" maxValue="543.29999999999995"/>
    </cacheField>
    <cacheField name="Código da venda" numFmtId="0">
      <sharedItems containsSemiMixedTypes="0" containsString="0" containsNumber="1" containsInteger="1" minValue="123488" maxValue="123516"/>
    </cacheField>
    <cacheField name="Forma de pgto" numFmtId="0">
      <sharedItems/>
    </cacheField>
    <cacheField name="Canal vendas" numFmtId="0">
      <sharedItems/>
    </cacheField>
    <cacheField name="Parcelas" numFmtId="0">
      <sharedItems containsString="0" containsBlank="1" containsNumber="1" containsInteger="1" minValue="1" maxValue="8"/>
    </cacheField>
    <cacheField name="Juros débito" numFmtId="165">
      <sharedItems containsSemiMixedTypes="0" containsString="0" containsNumber="1" minValue="0" maxValue="7.6615000000000002"/>
    </cacheField>
    <cacheField name="Débito - a receber" numFmtId="167">
      <sharedItems containsSemiMixedTypes="0" containsString="0" containsNumber="1" minValue="0" maxValue="377.33850000000001"/>
    </cacheField>
    <cacheField name="Juros cartão" numFmtId="165">
      <sharedItems containsSemiMixedTypes="0" containsString="0" containsNumber="1" minValue="0" maxValue="58.923499999999997"/>
    </cacheField>
    <cacheField name="Cartão - a receber" numFmtId="164">
      <sharedItems containsSemiMixedTypes="0" containsString="0" containsNumber="1" minValue="0" maxValue="896.07650000000001"/>
    </cacheField>
    <cacheField name="Liquido a receber" numFmtId="165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5578706" backgroundQuery="1" createdVersion="6" refreshedVersion="6" minRefreshableVersion="3" recordCount="0" supportSubquery="1" supportAdvancedDrill="1" xr:uid="{C50CE298-E72F-4860-9673-74DD22B3FF8E}">
  <cacheSource type="external" connectionId="1"/>
  <cacheFields count="3">
    <cacheField name="[Measures].[Soma de Valor total]" caption="Soma de Valor total" numFmtId="0" hierarchy="39" level="32767"/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1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5810183" backgroundQuery="1" createdVersion="6" refreshedVersion="6" minRefreshableVersion="3" recordCount="0" supportSubquery="1" supportAdvancedDrill="1" xr:uid="{76B121F0-0EA2-407A-AD8B-7A65AA31C897}">
  <cacheSource type="external" connectionId="1"/>
  <cacheFields count="2">
    <cacheField name="[Measures].[Soma de Liquido a receber]" caption="Soma de Liquido a receber" numFmtId="0" hierarchy="41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1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0" memberValueDatatype="130" unbalanced="0"/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6041668" backgroundQuery="1" createdVersion="6" refreshedVersion="6" minRefreshableVersion="3" recordCount="0" supportSubquery="1" supportAdvancedDrill="1" xr:uid="{0D518351-A24D-4DB1-99A8-32E76989DF99}">
  <cacheSource type="external" connectionId="1"/>
  <cacheFields count="3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Measures].[Soma de Juros cartão]" caption="Soma de Juros cartão" numFmtId="0" hierarchy="44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6273145" backgroundQuery="1" createdVersion="6" refreshedVersion="6" minRefreshableVersion="3" recordCount="0" supportSubquery="1" supportAdvancedDrill="1" xr:uid="{42E5D1B2-8E89-4CE9-8EC9-EDDA0EC5C94A}">
  <cacheSource type="external" connectionId="1"/>
  <cacheFields count="3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Measures].[Soma de Juros débito]" caption="Soma de Juros débito" numFmtId="0" hierarchy="45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6620368" backgroundQuery="1" createdVersion="6" refreshedVersion="6" minRefreshableVersion="3" recordCount="0" supportSubquery="1" supportAdvancedDrill="1" xr:uid="{C2B1EAF9-2E13-40DD-9A3A-F6BB8D083ED5}">
  <cacheSource type="external" connectionId="1"/>
  <cacheFields count="4">
    <cacheField name="[Tabela3].[Data (Mês)].[Data (Mês)]" caption="Data (Mês)" numFmtId="0" hierarchy="14" level="1">
      <sharedItems count="5">
        <s v="set"/>
        <s v="out"/>
        <s v="nov"/>
        <s v="dez"/>
        <s v="jan"/>
      </sharedItems>
    </cacheField>
    <cacheField name="[Measures].[Soma de Valor total]" caption="Soma de Valor total" numFmtId="0" hierarchy="39" level="32767"/>
    <cacheField name="[Tabela3].[Data (Ano)].[Data (Ano)]" caption="Data (Ano)" numFmtId="0" hierarchy="12" level="1">
      <sharedItems count="2">
        <s v="2020"/>
        <s v="2021"/>
      </sharedItems>
    </cacheField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3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>
      <fieldsUsage count="2">
        <fieldUsage x="-1"/>
        <fieldUsage x="0"/>
      </fieldsUsage>
    </cacheHierarchy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0" memberValueDatatype="130" unbalanced="0"/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6851853" backgroundQuery="1" createdVersion="6" refreshedVersion="6" minRefreshableVersion="3" recordCount="0" supportSubquery="1" supportAdvancedDrill="1" xr:uid="{DF16D5D2-7CAD-4451-93EF-44B48DB357FB}">
  <cacheSource type="external" connectionId="1"/>
  <cacheFields count="2">
    <cacheField name="[Measures].[Soma de Valor total]" caption="Soma de Valor total" numFmtId="0" hierarchy="39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1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0" memberValueDatatype="130" unbalanced="0"/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7314815" backgroundQuery="1" createdVersion="6" refreshedVersion="6" minRefreshableVersion="3" recordCount="0" supportSubquery="1" supportAdvancedDrill="1" xr:uid="{423C5B1D-5256-4724-B70A-1881DBAC71FD}">
  <cacheSource type="external" connectionId="1"/>
  <cacheFields count="3">
    <cacheField name="[Measures].[Soma de Valor total]" caption="Soma de Valor total" numFmtId="0" hierarchy="39" level="32767"/>
    <cacheField name="[Tabela3].[Produto].[Produto]" caption="Produto" numFmtId="0" hierarchy="2" level="1">
      <sharedItems containsBlank="1" count="11">
        <m/>
        <s v="Brinco de ouro"/>
        <s v="Brinco de prata"/>
        <s v="Colar de ouro"/>
        <s v="Colar de pérolas"/>
        <s v="Colar de prata"/>
        <s v="Pingente de ouro"/>
        <s v="Pulseira de ouro"/>
        <s v="Pulseira de prata"/>
        <s v="Tiara de ouro"/>
        <s v="Tiara de prata"/>
      </sharedItems>
    </cacheField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>
      <fieldsUsage count="2">
        <fieldUsage x="-1"/>
        <fieldUsage x="1"/>
      </fieldsUsage>
    </cacheHierarchy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0" memberValueDatatype="130" unbalanced="0"/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7893516" backgroundQuery="1" createdVersion="6" refreshedVersion="6" minRefreshableVersion="3" recordCount="0" supportSubquery="1" supportAdvancedDrill="1" xr:uid="{06DED147-07E1-43CD-84CC-EA89229B9241}">
  <cacheSource type="external" connectionId="1"/>
  <cacheFields count="3">
    <cacheField name="[Measures].[Soma de Valor total]" caption="Soma de Valor total" numFmtId="0" hierarchy="39" level="32767"/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1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8125" backgroundQuery="1" createdVersion="6" refreshedVersion="6" minRefreshableVersion="3" recordCount="0" supportSubquery="1" supportAdvancedDrill="1" xr:uid="{F91FA98D-F92C-4583-B9B7-E1476B247228}">
  <cacheSource type="external" connectionId="1"/>
  <cacheFields count="3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Measures].[Contagem Distinta de Código da venda]" caption="Contagem Distinta de Código da venda" numFmtId="0" hierarchy="38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8587962" backgroundQuery="1" createdVersion="6" refreshedVersion="6" minRefreshableVersion="3" recordCount="0" supportSubquery="1" supportAdvancedDrill="1" xr:uid="{7E496947-450C-42EF-A0A1-169F93A8126E}">
  <cacheSource type="external" connectionId="1"/>
  <cacheFields count="4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Measures].[Soma de Valor total]" caption="Soma de Valor total" numFmtId="0" hierarchy="39" level="32767"/>
    <cacheField name="[Tabela3].[Canal vendas].[Canal vendas]" caption="Canal vendas" numFmtId="0" hierarchy="11" level="1">
      <sharedItems count="2">
        <s v="E-commerce"/>
        <s v="Loja física"/>
      </sharedItems>
    </cacheField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3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916667" backgroundQuery="1" createdVersion="6" refreshedVersion="6" minRefreshableVersion="3" recordCount="0" supportSubquery="1" supportAdvancedDrill="1" xr:uid="{260BF2EF-0830-45EF-AFFD-9855E1919445}">
  <cacheSource type="external" connectionId="1"/>
  <cacheFields count="3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Measures].[Soma de Valor total]" caption="Soma de Valor total" numFmtId="0" hierarchy="39" level="32767"/>
    <cacheField name="[Tabela3].[Forma de pgto].[Forma de pgto]" caption="Forma de pgto" numFmtId="0" hierarchy="10" level="1">
      <sharedItems count="4">
        <s v="Crédito"/>
        <s v="Débito"/>
        <s v="Dinheiro"/>
        <s v="Pix"/>
      </sharedItems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9513886" backgroundQuery="1" createdVersion="6" refreshedVersion="6" minRefreshableVersion="3" recordCount="0" supportSubquery="1" supportAdvancedDrill="1" xr:uid="{3CE1937B-29BE-4F96-91A4-730800C99129}">
  <cacheSource type="external" connectionId="1"/>
  <cacheFields count="4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Tabela3].[Produto].[Produto]" caption="Produto" numFmtId="0" hierarchy="2" level="1">
      <sharedItems containsBlank="1" count="11">
        <m/>
        <s v="Brinco de ouro"/>
        <s v="Brinco de prata"/>
        <s v="Colar de ouro"/>
        <s v="Colar de pérolas"/>
        <s v="Colar de prata"/>
        <s v="Pingente de ouro"/>
        <s v="Pulseira de ouro"/>
        <s v="Pulseira de prata"/>
        <s v="Tiara de ouro"/>
        <s v="Tiara de prata"/>
      </sharedItems>
    </cacheField>
    <cacheField name="[Measures].[Média de Liquido a receber]" caption="Média de Liquido a receber" numFmtId="0" hierarchy="48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>
      <fieldsUsage count="2">
        <fieldUsage x="-1"/>
        <fieldUsage x="1"/>
      </fieldsUsage>
    </cacheHierarchy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3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79861109" backgroundQuery="1" createdVersion="6" refreshedVersion="6" minRefreshableVersion="3" recordCount="0" supportSubquery="1" supportAdvancedDrill="1" xr:uid="{0CF00DA7-3C3E-468D-896F-019D785FA768}">
  <cacheSource type="external" connectionId="1"/>
  <cacheFields count="4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Tabela3].[Produto].[Produto]" caption="Produto" numFmtId="0" hierarchy="2" level="1">
      <sharedItems count="10">
        <s v="Brinco de ouro"/>
        <s v="Brinco de prata"/>
        <s v="Colar de ouro"/>
        <s v="Colar de pérolas"/>
        <s v="Colar de prata"/>
        <s v="Pingente de ouro"/>
        <s v="Pulseira de ouro"/>
        <s v="Pulseira de prata"/>
        <s v="Tiara de ouro"/>
        <s v="Tiara de prata"/>
      </sharedItems>
    </cacheField>
    <cacheField name="[Measures].[Média de Valor Unitário]" caption="Média de Valor Unitário" numFmtId="0" hierarchy="50" level="32767"/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>
      <fieldsUsage count="2">
        <fieldUsage x="-1"/>
        <fieldUsage x="1"/>
      </fieldsUsage>
    </cacheHierarchy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3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1180208332" backgroundQuery="1" createdVersion="6" refreshedVersion="6" minRefreshableVersion="3" recordCount="0" supportSubquery="1" supportAdvancedDrill="1" xr:uid="{B6DD22E6-4208-466D-ADA9-6FFBD440EFEE}">
  <cacheSource type="external" connectionId="1"/>
  <cacheFields count="3">
    <cacheField name="[Tabela5].[Fornecedor].[Fornecedor]" caption="Fornecedor" numFmtId="0" hierarchy="30" level="1">
      <sharedItems count="4">
        <s v="A casa dos brincos"/>
        <s v="O recanto das tiaras"/>
        <s v="O rei dos colares"/>
        <s v="Senhor pulseira"/>
      </sharedItems>
    </cacheField>
    <cacheField name="[Tabela5].[Produto].[Produto]" caption="Produto" numFmtId="0" hierarchy="28" level="1">
      <sharedItems count="11">
        <s v="Brinco de ouro"/>
        <s v="Brinco de prata"/>
        <s v="Colar de ouro"/>
        <s v="Colar de pérolas"/>
        <s v="Colar de prata"/>
        <s v="Pingente de ouro"/>
        <s v="Pingente de prata"/>
        <s v="Pulseira de ouro"/>
        <s v="Pulseira de prata"/>
        <s v="Tiara de ouro"/>
        <s v="Tiara de prata"/>
      </sharedItems>
    </cacheField>
    <cacheField name="[Tabela3].[Forma de pgto].[Forma de pgto]" caption="Forma de pgto" numFmtId="0" hierarchy="10" level="1">
      <sharedItems containsSemiMixedTypes="0" containsNonDate="0" containsString="0"/>
    </cacheField>
  </cacheFields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>
      <fieldsUsage count="2">
        <fieldUsage x="-1"/>
        <fieldUsage x="2"/>
      </fieldsUsage>
    </cacheHierarchy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2" memberValueDatatype="130" unbalanced="0">
      <fieldsUsage count="2">
        <fieldUsage x="-1"/>
        <fieldUsage x="1"/>
      </fieldsUsage>
    </cacheHierarchy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2" memberValueDatatype="130" unbalanced="0">
      <fieldsUsage count="2">
        <fieldUsage x="-1"/>
        <fieldUsage x="0"/>
      </fieldsUsage>
    </cacheHierarchy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4">
    <dimension measure="1" name="Measures" uniqueName="[Measures]" caption="Measures"/>
    <dimension name="Tabela3" uniqueName="[Tabela3]" caption="Tabela3"/>
    <dimension name="Tabela4" uniqueName="[Tabela4]" caption="Tabela4"/>
    <dimension name="Tabela5" uniqueName="[Tabela5]" caption="Tabela5"/>
  </dimensions>
  <measureGroups count="3">
    <measureGroup name="Tabela3" caption="Tabela3"/>
    <measureGroup name="Tabela4" caption="Tabela4"/>
    <measureGroup name="Tabela5" caption="Tabela5"/>
  </measureGroups>
  <maps count="4">
    <map measureGroup="0" dimension="1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ones" refreshedDate="44227.610701504629" backgroundQuery="1" createdVersion="3" refreshedVersion="6" minRefreshableVersion="3" recordCount="0" supportSubquery="1" supportAdvancedDrill="1" xr:uid="{499975F7-565C-4A9A-8D3F-EBF3B0334EE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Tabela3].[Data]" caption="Data" attribute="1" time="1" defaultMemberUniqueName="[Tabela3].[Data].[All]" allUniqueName="[Tabela3].[Data].[All]" dimensionUniqueName="[Tabela3]" displayFolder="" count="0" memberValueDatatype="7" unbalanced="0"/>
    <cacheHierarchy uniqueName="[Tabela3].[Código]" caption="Código" attribute="1" defaultMemberUniqueName="[Tabela3].[Código].[All]" allUniqueName="[Tabela3].[Código].[All]" dimensionUniqueName="[Tabela3]" displayFolder="" count="0" memberValueDatatype="130" unbalanced="0"/>
    <cacheHierarchy uniqueName="[Tabela3].[Produto]" caption="Produto" attribute="1" defaultMemberUniqueName="[Tabela3].[Produto].[All]" allUniqueName="[Tabela3].[Produto].[All]" dimensionUniqueName="[Tabela3]" displayFolder="" count="2" memberValueDatatype="130" unbalanced="0"/>
    <cacheHierarchy uniqueName="[Tabela3].[Quantidade]" caption="Quantidade" attribute="1" defaultMemberUniqueName="[Tabela3].[Quantidade].[All]" allUniqueName="[Tabela3].[Quantidade].[All]" dimensionUniqueName="[Tabela3]" displayFolder="" count="0" memberValueDatatype="20" unbalanced="0"/>
    <cacheHierarchy uniqueName="[Tabela3].[Valor Unitário]" caption="Valor Unitário" attribute="1" defaultMemberUniqueName="[Tabela3].[Valor Unitário].[All]" allUniqueName="[Tabela3].[Valor Unitário].[All]" dimensionUniqueName="[Tabela3]" displayFolder="" count="0" memberValueDatatype="5" unbalanced="0"/>
    <cacheHierarchy uniqueName="[Tabela3].[Valor total]" caption="Valor total" attribute="1" defaultMemberUniqueName="[Tabela3].[Valor total].[All]" allUniqueName="[Tabela3].[Valor total].[All]" dimensionUniqueName="[Tabela3]" displayFolder="" count="0" memberValueDatatype="5" unbalanced="0"/>
    <cacheHierarchy uniqueName="[Tabela3].[Custo unitário]" caption="Custo unitário" attribute="1" defaultMemberUniqueName="[Tabela3].[Custo unitário].[All]" allUniqueName="[Tabela3].[Custo unitário].[All]" dimensionUniqueName="[Tabela3]" displayFolder="" count="0" memberValueDatatype="130" unbalanced="0"/>
    <cacheHierarchy uniqueName="[Tabela3].[Custo total]" caption="Custo total" attribute="1" defaultMemberUniqueName="[Tabela3].[Custo total].[All]" allUniqueName="[Tabela3].[Custo total].[All]" dimensionUniqueName="[Tabela3]" displayFolder="" count="0" memberValueDatatype="130" unbalanced="0"/>
    <cacheHierarchy uniqueName="[Tabela3].[Dif custo tot x venda]" caption="Dif custo tot x venda" attribute="1" defaultMemberUniqueName="[Tabela3].[Dif custo tot x venda].[All]" allUniqueName="[Tabela3].[Dif custo tot x venda].[All]" dimensionUniqueName="[Tabela3]" displayFolder="" count="0" memberValueDatatype="130" unbalanced="0"/>
    <cacheHierarchy uniqueName="[Tabela3].[Código da venda]" caption="Código da venda" attribute="1" defaultMemberUniqueName="[Tabela3].[Código da venda].[All]" allUniqueName="[Tabela3].[Código da venda].[All]" dimensionUniqueName="[Tabela3]" displayFolder="" count="0" memberValueDatatype="20" unbalanced="0"/>
    <cacheHierarchy uniqueName="[Tabela3].[Forma de pgto]" caption="Forma de pgto" attribute="1" defaultMemberUniqueName="[Tabela3].[Forma de pgto].[All]" allUniqueName="[Tabela3].[Forma de pgto].[All]" dimensionUniqueName="[Tabela3]" displayFolder="" count="2" memberValueDatatype="130" unbalanced="0"/>
    <cacheHierarchy uniqueName="[Tabela3].[Canal vendas]" caption="Canal vendas" attribute="1" defaultMemberUniqueName="[Tabela3].[Canal vendas].[All]" allUniqueName="[Tabela3].[Canal vendas].[All]" dimensionUniqueName="[Tabela3]" displayFolder="" count="2" memberValueDatatype="130" unbalanced="0"/>
    <cacheHierarchy uniqueName="[Tabela3].[Data (Ano)]" caption="Data (Ano)" attribute="1" defaultMemberUniqueName="[Tabela3].[Data (Ano)].[All]" allUniqueName="[Tabela3].[Data (Ano)].[All]" dimensionUniqueName="[Tabela3]" displayFolder="" count="0" memberValueDatatype="130" unbalanced="0"/>
    <cacheHierarchy uniqueName="[Tabela3].[Data (Trimestre)]" caption="Data (Trimestre)" attribute="1" defaultMemberUniqueName="[Tabela3].[Data (Trimestre)].[All]" allUniqueName="[Tabela3].[Data (Trimestre)].[All]" dimensionUniqueName="[Tabela3]" displayFolder="" count="0" memberValueDatatype="130" unbalanced="0"/>
    <cacheHierarchy uniqueName="[Tabela3].[Data (Mês)]" caption="Data (Mês)" attribute="1" defaultMemberUniqueName="[Tabela3].[Data (Mês)].[All]" allUniqueName="[Tabela3].[Data (Mês)].[All]" dimensionUniqueName="[Tabela3]" displayFolder="" count="2" memberValueDatatype="130" unbalanced="0"/>
    <cacheHierarchy uniqueName="[Tabela3].[Parcelas]" caption="Parcelas" attribute="1" defaultMemberUniqueName="[Tabela3].[Parcelas].[All]" allUniqueName="[Tabela3].[Parcelas].[All]" dimensionUniqueName="[Tabela3]" displayFolder="" count="0" memberValueDatatype="20" unbalanced="0"/>
    <cacheHierarchy uniqueName="[Tabela3].[Juros débito]" caption="Juros débito" attribute="1" defaultMemberUniqueName="[Tabela3].[Juros débito].[All]" allUniqueName="[Tabela3].[Juros débito].[All]" dimensionUniqueName="[Tabela3]" displayFolder="" count="0" memberValueDatatype="5" unbalanced="0"/>
    <cacheHierarchy uniqueName="[Tabela3].[Débito - a receber]" caption="Débito - a receber" attribute="1" defaultMemberUniqueName="[Tabela3].[Débito - a receber].[All]" allUniqueName="[Tabela3].[Débito - a receber].[All]" dimensionUniqueName="[Tabela3]" displayFolder="" count="0" memberValueDatatype="5" unbalanced="0"/>
    <cacheHierarchy uniqueName="[Tabela3].[Juros cartão]" caption="Juros cartão" attribute="1" defaultMemberUniqueName="[Tabela3].[Juros cartão].[All]" allUniqueName="[Tabela3].[Juros cartão].[All]" dimensionUniqueName="[Tabela3]" displayFolder="" count="0" memberValueDatatype="5" unbalanced="0"/>
    <cacheHierarchy uniqueName="[Tabela3].[Cartão - a receber]" caption="Cartão - a receber" attribute="1" defaultMemberUniqueName="[Tabela3].[Cartão - a receber].[All]" allUniqueName="[Tabela3].[Cartão - a receber].[All]" dimensionUniqueName="[Tabela3]" displayFolder="" count="0" memberValueDatatype="5" unbalanced="0"/>
    <cacheHierarchy uniqueName="[Tabela3].[Liquido a receber]" caption="Liquido a receber" attribute="1" defaultMemberUniqueName="[Tabela3].[Liquido a receber].[All]" allUniqueName="[Tabela3].[Liquido a receber].[All]" dimensionUniqueName="[Tabela3]" displayFolder="" count="0" memberValueDatatype="5" unbalanced="0"/>
    <cacheHierarchy uniqueName="[Tabela4].[Código]" caption="Código" attribute="1" defaultMemberUniqueName="[Tabela4].[Código].[All]" allUniqueName="[Tabela4].[Código].[All]" dimensionUniqueName="[Tabela4]" displayFolder="" count="0" memberValueDatatype="20" unbalanced="0"/>
    <cacheHierarchy uniqueName="[Tabela4].[Produto]" caption="Produto" attribute="1" defaultMemberUniqueName="[Tabela4].[Produto].[All]" allUniqueName="[Tabela4].[Produto].[All]" dimensionUniqueName="[Tabela4]" displayFolder="" count="0" memberValueDatatype="130" unbalanced="0"/>
    <cacheHierarchy uniqueName="[Tabela4].[Entrada]" caption="Entrada" attribute="1" defaultMemberUniqueName="[Tabela4].[Entrada].[All]" allUniqueName="[Tabela4].[Entrada].[All]" dimensionUniqueName="[Tabela4]" displayFolder="" count="0" memberValueDatatype="20" unbalanced="0"/>
    <cacheHierarchy uniqueName="[Tabela4].[Saida]" caption="Saida" attribute="1" defaultMemberUniqueName="[Tabela4].[Saida].[All]" allUniqueName="[Tabela4].[Saida].[All]" dimensionUniqueName="[Tabela4]" displayFolder="" count="0" memberValueDatatype="20" unbalanced="0"/>
    <cacheHierarchy uniqueName="[Tabela4].[Custo unitário]" caption="Custo unitário" attribute="1" defaultMemberUniqueName="[Tabela4].[Custo unitário].[All]" allUniqueName="[Tabela4].[Custo unitário].[All]" dimensionUniqueName="[Tabela4]" displayFolder="" count="0" memberValueDatatype="5" unbalanced="0"/>
    <cacheHierarchy uniqueName="[Tabela4].[Total Estoque]" caption="Total Estoque" attribute="1" defaultMemberUniqueName="[Tabela4].[Total Estoque].[All]" allUniqueName="[Tabela4].[Total Estoque].[All]" dimensionUniqueName="[Tabela4]" displayFolder="" count="0" memberValueDatatype="5" unbalanced="0"/>
    <cacheHierarchy uniqueName="[Tabela4].[Saldo total]" caption="Saldo total" attribute="1" defaultMemberUniqueName="[Tabela4].[Saldo total].[All]" allUniqueName="[Tabela4].[Saldo total].[All]" dimensionUniqueName="[Tabela4]" displayFolder="" count="0" memberValueDatatype="20" unbalanced="0"/>
    <cacheHierarchy uniqueName="[Tabela5].[Produto]" caption="Produto" attribute="1" defaultMemberUniqueName="[Tabela5].[Produto].[All]" allUniqueName="[Tabela5].[Produto].[All]" dimensionUniqueName="[Tabela5]" displayFolder="" count="0" memberValueDatatype="130" unbalanced="0"/>
    <cacheHierarchy uniqueName="[Tabela5].[Código]" caption="Código" attribute="1" defaultMemberUniqueName="[Tabela5].[Código].[All]" allUniqueName="[Tabela5].[Código].[All]" dimensionUniqueName="[Tabela5]" displayFolder="" count="0" memberValueDatatype="20" unbalanced="0"/>
    <cacheHierarchy uniqueName="[Tabela5].[Fornecedor]" caption="Fornecedor" attribute="1" defaultMemberUniqueName="[Tabela5].[Fornecedor].[All]" allUniqueName="[Tabela5].[Fornecedor].[All]" dimensionUniqueName="[Tabela5]" displayFolder="" count="0" memberValueDatatype="130" unbalanced="0"/>
    <cacheHierarchy uniqueName="[Tabela5].[Custo unitário]" caption="Custo unitário" attribute="1" defaultMemberUniqueName="[Tabela5].[Custo unitário].[All]" allUniqueName="[Tabela5].[Custo unitário].[All]" dimensionUniqueName="[Tabela5]" displayFolder="" count="0" memberValueDatatype="5" unbalanced="0"/>
    <cacheHierarchy uniqueName="[Tabela3].[Data (Índice de Mês)]" caption="Data (Índice de Mês)" attribute="1" defaultMemberUniqueName="[Tabela3].[Data (Índice de Mês)].[All]" allUniqueName="[Tabela3].[Data (Índice de Mês)].[All]" dimensionUniqueName="[Tabela3]" displayFolder="" count="0" memberValueDatatype="20" unbalanced="0" hidden="1"/>
    <cacheHierarchy uniqueName="[Measures].[__XL_Count Tabela3]" caption="__XL_Count Tabela3" measure="1" displayFolder="" measureGroup="Tabela3" count="0" hidden="1"/>
    <cacheHierarchy uniqueName="[Measures].[__XL_Count Tabela5]" caption="__XL_Count Tabela5" measure="1" displayFolder="" measureGroup="Tabela5" count="0" hidden="1"/>
    <cacheHierarchy uniqueName="[Measures].[__XL_Count Tabela4]" caption="__XL_Count Tabela4" measure="1" displayFolder="" measureGroup="Tabela4" count="0" hidden="1"/>
    <cacheHierarchy uniqueName="[Measures].[__No measures defined]" caption="__No measures defined" measure="1" displayFolder="" count="0" hidden="1"/>
    <cacheHierarchy uniqueName="[Measures].[Soma de Código da venda]" caption="Som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istinta de Código da venda]" caption="Contagem Distinta de Código da venda" measure="1" displayFolder="" measureGroup="Tabela3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Valor total]" caption="Som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Liquido a receber]" caption="Contagem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Liquido a receber]" caption="Som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Juros cartão]" caption="Contagem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Juros débito]" caption="Contagem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Juros cartão]" caption="Soma de Juros cartão" measure="1" displayFolder="" measureGroup="Tabela3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Juros débito]" caption="Soma de Juros débito" measure="1" displayFolder="" measureGroup="Tabela3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Dif custo tot x venda]" caption="Contagem de Dif custo tot x venda" measure="1" displayFolder="" measureGroup="Tabela3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Média de Valor total]" caption="Média de Valor total" measure="1" displayFolder="" measureGroup="Tabela3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Média de Liquido a receber]" caption="Média de Liquido a receber" measure="1" displayFolder="" measureGroup="Tabela3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a de Valor Unitário]" caption="Som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Média de Valor Unitário]" caption="Média de Valor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Custo unitário]" caption="Contagem de Custo unitário" measure="1" displayFolder="" measureGroup="Tabela3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Custo unitário]" caption="Soma de Custo unitário" measure="1" displayFolder="" measureGroup="Tabela5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a de Saldo total]" caption="Soma de Saldo total" measure="1" displayFolder="" measureGroup="Tabela4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Total Estoque]" caption="Soma de Total Estoque" measure="1" displayFolder="" measureGroup="Tabela4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6436817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d v="2021-01-31T00:00:00"/>
    <n v="1001"/>
    <x v="0"/>
    <n v="3"/>
    <n v="50"/>
    <n v="150"/>
    <n v="24.9"/>
    <n v="74.699999999999989"/>
    <n v="75.300000000000011"/>
    <n v="123516"/>
    <s v="Crédito"/>
    <s v="E-commerce"/>
    <n v="5"/>
    <n v="0"/>
    <n v="0"/>
    <n v="6.8999999999999995"/>
    <n v="143.1"/>
    <n v="143.1"/>
  </r>
  <r>
    <d v="2021-01-31T00:00:00"/>
    <n v="1003"/>
    <x v="1"/>
    <n v="1"/>
    <n v="191.5"/>
    <n v="191.5"/>
    <n v="85.9"/>
    <n v="85.9"/>
    <n v="105.6"/>
    <n v="123516"/>
    <s v="Crédito"/>
    <s v="E-commerce"/>
    <n v="5"/>
    <n v="0"/>
    <n v="0"/>
    <n v="8.8089999999999993"/>
    <n v="182.691"/>
    <n v="182.691"/>
  </r>
  <r>
    <d v="2021-01-31T00:00:00"/>
    <e v="#N/A"/>
    <x v="2"/>
    <m/>
    <m/>
    <n v="0"/>
    <e v="#N/A"/>
    <e v="#N/A"/>
    <e v="#N/A"/>
    <n v="123516"/>
    <s v="Crédito"/>
    <s v="E-commerce"/>
    <n v="5"/>
    <n v="0"/>
    <n v="0"/>
    <n v="0"/>
    <n v="0"/>
    <n v="0"/>
  </r>
  <r>
    <d v="2021-01-31T00:00:00"/>
    <e v="#N/A"/>
    <x v="2"/>
    <m/>
    <m/>
    <n v="0"/>
    <e v="#N/A"/>
    <e v="#N/A"/>
    <e v="#N/A"/>
    <n v="123516"/>
    <s v="Crédito"/>
    <s v="E-commerce"/>
    <n v="5"/>
    <n v="0"/>
    <n v="0"/>
    <n v="0"/>
    <n v="0"/>
    <n v="0"/>
  </r>
  <r>
    <d v="2021-01-31T00:00:00"/>
    <e v="#N/A"/>
    <x v="2"/>
    <m/>
    <m/>
    <n v="0"/>
    <e v="#N/A"/>
    <e v="#N/A"/>
    <e v="#N/A"/>
    <n v="123516"/>
    <s v="Crédito"/>
    <s v="E-commerce"/>
    <n v="5"/>
    <n v="0"/>
    <n v="0"/>
    <n v="0"/>
    <n v="0"/>
    <n v="0"/>
  </r>
  <r>
    <d v="2021-01-31T00:00:00"/>
    <n v="1008"/>
    <x v="3"/>
    <n v="10"/>
    <n v="50"/>
    <n v="500"/>
    <n v="32.9"/>
    <n v="329"/>
    <n v="171"/>
    <n v="123515"/>
    <s v="Crédito"/>
    <s v="Loja física"/>
    <n v="7"/>
    <n v="0"/>
    <n v="0"/>
    <n v="29.2"/>
    <n v="470.8"/>
    <n v="470.8"/>
  </r>
  <r>
    <d v="2021-01-31T00:00:00"/>
    <e v="#N/A"/>
    <x v="2"/>
    <m/>
    <m/>
    <n v="0"/>
    <e v="#N/A"/>
    <e v="#N/A"/>
    <e v="#N/A"/>
    <n v="123515"/>
    <s v="Crédito"/>
    <s v="Loja física"/>
    <n v="7"/>
    <n v="0"/>
    <n v="0"/>
    <n v="0"/>
    <n v="0"/>
    <n v="0"/>
  </r>
  <r>
    <d v="2021-01-31T00:00:00"/>
    <e v="#N/A"/>
    <x v="2"/>
    <m/>
    <m/>
    <n v="0"/>
    <e v="#N/A"/>
    <e v="#N/A"/>
    <e v="#N/A"/>
    <n v="123515"/>
    <s v="Crédito"/>
    <s v="Loja física"/>
    <n v="7"/>
    <n v="0"/>
    <n v="0"/>
    <n v="0"/>
    <n v="0"/>
    <n v="0"/>
  </r>
  <r>
    <d v="2021-01-31T00:00:00"/>
    <e v="#N/A"/>
    <x v="2"/>
    <m/>
    <m/>
    <n v="0"/>
    <e v="#N/A"/>
    <e v="#N/A"/>
    <e v="#N/A"/>
    <n v="123515"/>
    <s v="Crédito"/>
    <s v="Loja física"/>
    <n v="7"/>
    <n v="0"/>
    <n v="0"/>
    <n v="0"/>
    <n v="0"/>
    <n v="0"/>
  </r>
  <r>
    <d v="2021-01-31T00:00:00"/>
    <e v="#N/A"/>
    <x v="2"/>
    <m/>
    <m/>
    <n v="0"/>
    <e v="#N/A"/>
    <e v="#N/A"/>
    <e v="#N/A"/>
    <n v="123515"/>
    <s v="Crédito"/>
    <s v="Loja física"/>
    <n v="7"/>
    <n v="0"/>
    <n v="0"/>
    <n v="0"/>
    <n v="0"/>
    <n v="0"/>
  </r>
  <r>
    <d v="2021-01-31T00:00:00"/>
    <n v="1003"/>
    <x v="1"/>
    <n v="1"/>
    <n v="199.5"/>
    <n v="199.5"/>
    <n v="85.9"/>
    <n v="85.9"/>
    <n v="113.6"/>
    <n v="123514"/>
    <s v="Débito"/>
    <s v="Loja física"/>
    <m/>
    <n v="3.9700500000000001"/>
    <n v="195.52995000000001"/>
    <n v="0"/>
    <n v="0"/>
    <n v="195.52995000000001"/>
  </r>
  <r>
    <d v="2021-01-31T00:00:00"/>
    <e v="#N/A"/>
    <x v="2"/>
    <m/>
    <m/>
    <n v="0"/>
    <e v="#N/A"/>
    <e v="#N/A"/>
    <e v="#N/A"/>
    <n v="123514"/>
    <s v="Débito"/>
    <s v="Loja física"/>
    <m/>
    <n v="0"/>
    <n v="0"/>
    <n v="0"/>
    <n v="0"/>
    <n v="0"/>
  </r>
  <r>
    <d v="2021-01-31T00:00:00"/>
    <e v="#N/A"/>
    <x v="2"/>
    <m/>
    <m/>
    <n v="0"/>
    <e v="#N/A"/>
    <e v="#N/A"/>
    <e v="#N/A"/>
    <n v="123514"/>
    <s v="Débito"/>
    <s v="Loja física"/>
    <m/>
    <n v="0"/>
    <n v="0"/>
    <n v="0"/>
    <n v="0"/>
    <n v="0"/>
  </r>
  <r>
    <d v="2021-01-31T00:00:00"/>
    <e v="#N/A"/>
    <x v="2"/>
    <m/>
    <m/>
    <n v="0"/>
    <e v="#N/A"/>
    <e v="#N/A"/>
    <e v="#N/A"/>
    <n v="123514"/>
    <s v="Débito"/>
    <s v="Loja física"/>
    <m/>
    <n v="0"/>
    <n v="0"/>
    <n v="0"/>
    <n v="0"/>
    <n v="0"/>
  </r>
  <r>
    <d v="2021-01-31T00:00:00"/>
    <e v="#N/A"/>
    <x v="2"/>
    <m/>
    <m/>
    <n v="0"/>
    <e v="#N/A"/>
    <e v="#N/A"/>
    <e v="#N/A"/>
    <n v="123514"/>
    <s v="Débito"/>
    <s v="Loja física"/>
    <m/>
    <n v="0"/>
    <n v="0"/>
    <n v="0"/>
    <n v="0"/>
    <n v="0"/>
  </r>
  <r>
    <d v="2021-01-31T00:00:00"/>
    <n v="1004"/>
    <x v="4"/>
    <n v="1"/>
    <n v="200"/>
    <n v="200"/>
    <n v="99.5"/>
    <n v="99.5"/>
    <n v="100.5"/>
    <n v="123513"/>
    <s v="Crédito"/>
    <s v="E-commerce"/>
    <n v="3"/>
    <n v="0"/>
    <n v="0"/>
    <n v="7.88"/>
    <n v="192.12"/>
    <n v="192.12"/>
  </r>
  <r>
    <d v="2021-01-31T00:00:00"/>
    <e v="#N/A"/>
    <x v="2"/>
    <m/>
    <m/>
    <n v="0"/>
    <e v="#N/A"/>
    <e v="#N/A"/>
    <e v="#N/A"/>
    <n v="123513"/>
    <s v="Crédito"/>
    <s v="E-commerce"/>
    <n v="3"/>
    <n v="0"/>
    <n v="0"/>
    <n v="0"/>
    <n v="0"/>
    <n v="0"/>
  </r>
  <r>
    <d v="2021-01-31T00:00:00"/>
    <e v="#N/A"/>
    <x v="2"/>
    <m/>
    <m/>
    <n v="0"/>
    <e v="#N/A"/>
    <e v="#N/A"/>
    <e v="#N/A"/>
    <n v="123513"/>
    <s v="Crédito"/>
    <s v="E-commerce"/>
    <n v="3"/>
    <n v="0"/>
    <n v="0"/>
    <n v="0"/>
    <n v="0"/>
    <n v="0"/>
  </r>
  <r>
    <d v="2021-01-31T00:00:00"/>
    <e v="#N/A"/>
    <x v="2"/>
    <m/>
    <m/>
    <n v="0"/>
    <e v="#N/A"/>
    <e v="#N/A"/>
    <e v="#N/A"/>
    <n v="123513"/>
    <s v="Crédito"/>
    <s v="E-commerce"/>
    <n v="3"/>
    <n v="0"/>
    <n v="0"/>
    <n v="0"/>
    <n v="0"/>
    <n v="0"/>
  </r>
  <r>
    <d v="2021-01-31T00:00:00"/>
    <e v="#N/A"/>
    <x v="2"/>
    <m/>
    <m/>
    <n v="0"/>
    <e v="#N/A"/>
    <e v="#N/A"/>
    <e v="#N/A"/>
    <n v="123513"/>
    <s v="Crédito"/>
    <s v="E-commerce"/>
    <n v="3"/>
    <n v="0"/>
    <n v="0"/>
    <n v="0"/>
    <n v="0"/>
    <n v="0"/>
  </r>
  <r>
    <d v="2021-01-31T00:00:00"/>
    <n v="1001"/>
    <x v="0"/>
    <n v="2"/>
    <n v="65"/>
    <n v="130"/>
    <n v="24.9"/>
    <n v="49.8"/>
    <n v="80.2"/>
    <n v="123512"/>
    <s v="Crédito"/>
    <s v="E-commerce"/>
    <n v="3"/>
    <n v="0"/>
    <n v="0"/>
    <n v="5.1219999999999999"/>
    <n v="124.878"/>
    <n v="124.878"/>
  </r>
  <r>
    <d v="2021-01-31T00:00:00"/>
    <n v="1002"/>
    <x v="5"/>
    <n v="2"/>
    <n v="55"/>
    <n v="110"/>
    <n v="18.5"/>
    <n v="37"/>
    <n v="73"/>
    <n v="123512"/>
    <s v="Crédito"/>
    <s v="E-commerce"/>
    <n v="3"/>
    <n v="0"/>
    <n v="0"/>
    <n v="4.3339999999999996"/>
    <n v="105.666"/>
    <n v="105.666"/>
  </r>
  <r>
    <d v="2021-01-31T00:00:00"/>
    <e v="#N/A"/>
    <x v="2"/>
    <m/>
    <m/>
    <n v="0"/>
    <e v="#N/A"/>
    <e v="#N/A"/>
    <e v="#N/A"/>
    <n v="123512"/>
    <s v="Crédito"/>
    <s v="E-commerce"/>
    <n v="3"/>
    <n v="0"/>
    <n v="0"/>
    <n v="0"/>
    <n v="0"/>
    <n v="0"/>
  </r>
  <r>
    <d v="2021-01-31T00:00:00"/>
    <e v="#N/A"/>
    <x v="2"/>
    <m/>
    <m/>
    <n v="0"/>
    <e v="#N/A"/>
    <e v="#N/A"/>
    <e v="#N/A"/>
    <n v="123512"/>
    <s v="Crédito"/>
    <s v="E-commerce"/>
    <n v="3"/>
    <n v="0"/>
    <n v="0"/>
    <n v="0"/>
    <n v="0"/>
    <n v="0"/>
  </r>
  <r>
    <d v="2021-01-31T00:00:00"/>
    <e v="#N/A"/>
    <x v="2"/>
    <m/>
    <m/>
    <n v="0"/>
    <e v="#N/A"/>
    <e v="#N/A"/>
    <e v="#N/A"/>
    <n v="123512"/>
    <s v="Crédito"/>
    <s v="E-commerce"/>
    <n v="3"/>
    <n v="0"/>
    <n v="0"/>
    <n v="0"/>
    <n v="0"/>
    <n v="0"/>
  </r>
  <r>
    <d v="2021-01-29T00:00:00"/>
    <n v="1002"/>
    <x v="5"/>
    <n v="1"/>
    <n v="50"/>
    <n v="50"/>
    <n v="18.5"/>
    <n v="18.5"/>
    <n v="31.5"/>
    <n v="123511"/>
    <s v="Crédito"/>
    <s v="E-commerce"/>
    <n v="3"/>
    <n v="0"/>
    <n v="0"/>
    <n v="1.97"/>
    <n v="48.03"/>
    <n v="48.03"/>
  </r>
  <r>
    <d v="2021-01-29T00:00:00"/>
    <n v="1003"/>
    <x v="1"/>
    <n v="1"/>
    <n v="190"/>
    <n v="190"/>
    <n v="85.9"/>
    <n v="85.9"/>
    <n v="104.1"/>
    <n v="123511"/>
    <s v="Crédito"/>
    <s v="E-commerce"/>
    <n v="3"/>
    <n v="0"/>
    <n v="0"/>
    <n v="7.4859999999999998"/>
    <n v="182.51400000000001"/>
    <n v="182.51400000000001"/>
  </r>
  <r>
    <d v="2021-01-29T00:00:00"/>
    <e v="#N/A"/>
    <x v="2"/>
    <m/>
    <m/>
    <n v="0"/>
    <e v="#N/A"/>
    <e v="#N/A"/>
    <e v="#N/A"/>
    <n v="123511"/>
    <s v="Crédito"/>
    <s v="E-commerce"/>
    <n v="3"/>
    <n v="0"/>
    <n v="0"/>
    <n v="0"/>
    <n v="0"/>
    <n v="0"/>
  </r>
  <r>
    <d v="2021-01-29T00:00:00"/>
    <e v="#N/A"/>
    <x v="2"/>
    <m/>
    <m/>
    <n v="0"/>
    <e v="#N/A"/>
    <e v="#N/A"/>
    <e v="#N/A"/>
    <n v="123511"/>
    <s v="Crédito"/>
    <s v="E-commerce"/>
    <n v="3"/>
    <n v="0"/>
    <n v="0"/>
    <n v="0"/>
    <n v="0"/>
    <n v="0"/>
  </r>
  <r>
    <d v="2021-01-29T00:00:00"/>
    <e v="#N/A"/>
    <x v="2"/>
    <m/>
    <m/>
    <n v="0"/>
    <e v="#N/A"/>
    <e v="#N/A"/>
    <e v="#N/A"/>
    <n v="123511"/>
    <s v="Crédito"/>
    <s v="E-commerce"/>
    <n v="3"/>
    <n v="0"/>
    <n v="0"/>
    <n v="0"/>
    <n v="0"/>
    <n v="0"/>
  </r>
  <r>
    <d v="2021-01-29T00:00:00"/>
    <n v="1002"/>
    <x v="5"/>
    <n v="3"/>
    <n v="65"/>
    <n v="195"/>
    <n v="18.5"/>
    <n v="55.5"/>
    <n v="139.5"/>
    <n v="123510"/>
    <s v="Débito"/>
    <s v="E-commerce"/>
    <m/>
    <n v="3.8805000000000001"/>
    <n v="191.11949999999999"/>
    <n v="0"/>
    <n v="0"/>
    <n v="191.11949999999999"/>
  </r>
  <r>
    <d v="2021-01-29T00:00:00"/>
    <e v="#N/A"/>
    <x v="2"/>
    <m/>
    <m/>
    <n v="0"/>
    <e v="#N/A"/>
    <e v="#N/A"/>
    <e v="#N/A"/>
    <n v="123510"/>
    <s v="Débito"/>
    <s v="E-commerce"/>
    <m/>
    <n v="0"/>
    <n v="0"/>
    <n v="0"/>
    <n v="0"/>
    <n v="0"/>
  </r>
  <r>
    <d v="2021-01-29T00:00:00"/>
    <e v="#N/A"/>
    <x v="2"/>
    <m/>
    <m/>
    <n v="0"/>
    <e v="#N/A"/>
    <e v="#N/A"/>
    <e v="#N/A"/>
    <n v="123510"/>
    <s v="Débito"/>
    <s v="E-commerce"/>
    <m/>
    <n v="0"/>
    <n v="0"/>
    <n v="0"/>
    <n v="0"/>
    <n v="0"/>
  </r>
  <r>
    <d v="2021-01-29T00:00:00"/>
    <e v="#N/A"/>
    <x v="2"/>
    <m/>
    <m/>
    <n v="0"/>
    <e v="#N/A"/>
    <e v="#N/A"/>
    <e v="#N/A"/>
    <n v="123510"/>
    <s v="Débito"/>
    <s v="E-commerce"/>
    <m/>
    <n v="0"/>
    <n v="0"/>
    <n v="0"/>
    <n v="0"/>
    <n v="0"/>
  </r>
  <r>
    <d v="2021-01-29T00:00:00"/>
    <e v="#N/A"/>
    <x v="2"/>
    <m/>
    <m/>
    <n v="0"/>
    <e v="#N/A"/>
    <e v="#N/A"/>
    <e v="#N/A"/>
    <n v="123510"/>
    <s v="Débito"/>
    <s v="E-commerce"/>
    <m/>
    <n v="0"/>
    <n v="0"/>
    <n v="0"/>
    <n v="0"/>
    <n v="0"/>
  </r>
  <r>
    <d v="2021-01-29T00:00:00"/>
    <n v="1005"/>
    <x v="6"/>
    <n v="1"/>
    <n v="180"/>
    <n v="180"/>
    <n v="91.5"/>
    <n v="91.5"/>
    <n v="88.5"/>
    <n v="123509"/>
    <s v="Crédito"/>
    <s v="E-commerce"/>
    <n v="2"/>
    <n v="0"/>
    <n v="0"/>
    <n v="6.48"/>
    <n v="173.52"/>
    <n v="173.52"/>
  </r>
  <r>
    <d v="2021-01-29T00:00:00"/>
    <e v="#N/A"/>
    <x v="2"/>
    <m/>
    <m/>
    <n v="0"/>
    <e v="#N/A"/>
    <e v="#N/A"/>
    <e v="#N/A"/>
    <n v="123509"/>
    <s v="Crédito"/>
    <s v="E-commerce"/>
    <n v="2"/>
    <n v="0"/>
    <n v="0"/>
    <n v="0"/>
    <n v="0"/>
    <n v="0"/>
  </r>
  <r>
    <d v="2021-01-29T00:00:00"/>
    <e v="#N/A"/>
    <x v="2"/>
    <m/>
    <m/>
    <n v="0"/>
    <e v="#N/A"/>
    <e v="#N/A"/>
    <e v="#N/A"/>
    <n v="123509"/>
    <s v="Crédito"/>
    <s v="E-commerce"/>
    <n v="2"/>
    <n v="0"/>
    <n v="0"/>
    <n v="0"/>
    <n v="0"/>
    <n v="0"/>
  </r>
  <r>
    <d v="2021-01-29T00:00:00"/>
    <e v="#N/A"/>
    <x v="2"/>
    <m/>
    <m/>
    <n v="0"/>
    <e v="#N/A"/>
    <e v="#N/A"/>
    <e v="#N/A"/>
    <n v="123509"/>
    <s v="Crédito"/>
    <s v="E-commerce"/>
    <n v="2"/>
    <n v="0"/>
    <n v="0"/>
    <n v="0"/>
    <n v="0"/>
    <n v="0"/>
  </r>
  <r>
    <d v="2021-01-29T00:00:00"/>
    <e v="#N/A"/>
    <x v="2"/>
    <m/>
    <m/>
    <n v="0"/>
    <e v="#N/A"/>
    <e v="#N/A"/>
    <e v="#N/A"/>
    <n v="123509"/>
    <s v="Crédito"/>
    <s v="E-commerce"/>
    <n v="2"/>
    <n v="0"/>
    <n v="0"/>
    <n v="0"/>
    <n v="0"/>
    <n v="0"/>
  </r>
  <r>
    <d v="2021-01-29T00:00:00"/>
    <n v="1003"/>
    <x v="1"/>
    <n v="1"/>
    <n v="190"/>
    <n v="190"/>
    <n v="85.9"/>
    <n v="85.9"/>
    <n v="104.1"/>
    <n v="123508"/>
    <s v="Crédito"/>
    <s v="E-commerce"/>
    <n v="1"/>
    <n v="0"/>
    <n v="0"/>
    <n v="5.6429999999999998"/>
    <n v="184.357"/>
    <n v="184.357"/>
  </r>
  <r>
    <d v="2021-01-29T00:00:00"/>
    <e v="#N/A"/>
    <x v="2"/>
    <m/>
    <m/>
    <n v="0"/>
    <e v="#N/A"/>
    <e v="#N/A"/>
    <e v="#N/A"/>
    <n v="123508"/>
    <s v="Crédito"/>
    <s v="E-commerce"/>
    <n v="1"/>
    <n v="0"/>
    <n v="0"/>
    <n v="0"/>
    <n v="0"/>
    <n v="0"/>
  </r>
  <r>
    <d v="2021-01-29T00:00:00"/>
    <e v="#N/A"/>
    <x v="2"/>
    <m/>
    <m/>
    <n v="0"/>
    <e v="#N/A"/>
    <e v="#N/A"/>
    <e v="#N/A"/>
    <n v="123508"/>
    <s v="Crédito"/>
    <s v="E-commerce"/>
    <n v="1"/>
    <n v="0"/>
    <n v="0"/>
    <n v="0"/>
    <n v="0"/>
    <n v="0"/>
  </r>
  <r>
    <d v="2021-01-29T00:00:00"/>
    <e v="#N/A"/>
    <x v="2"/>
    <m/>
    <m/>
    <n v="0"/>
    <e v="#N/A"/>
    <e v="#N/A"/>
    <e v="#N/A"/>
    <n v="123508"/>
    <s v="Crédito"/>
    <s v="E-commerce"/>
    <n v="1"/>
    <n v="0"/>
    <n v="0"/>
    <n v="0"/>
    <n v="0"/>
    <n v="0"/>
  </r>
  <r>
    <d v="2021-01-29T00:00:00"/>
    <e v="#N/A"/>
    <x v="2"/>
    <m/>
    <m/>
    <n v="0"/>
    <e v="#N/A"/>
    <e v="#N/A"/>
    <e v="#N/A"/>
    <n v="123508"/>
    <s v="Crédito"/>
    <s v="E-commerce"/>
    <n v="1"/>
    <n v="0"/>
    <n v="0"/>
    <n v="0"/>
    <n v="0"/>
    <n v="0"/>
  </r>
  <r>
    <d v="2021-01-29T00:00:00"/>
    <n v="1003"/>
    <x v="1"/>
    <n v="1"/>
    <n v="190"/>
    <n v="190"/>
    <n v="85.9"/>
    <n v="85.9"/>
    <n v="104.1"/>
    <n v="123507"/>
    <s v="Crédito"/>
    <s v="E-commerce"/>
    <n v="3"/>
    <n v="0"/>
    <n v="0"/>
    <n v="7.4859999999999998"/>
    <n v="182.51400000000001"/>
    <n v="182.51400000000001"/>
  </r>
  <r>
    <d v="2021-01-29T00:00:00"/>
    <n v="1001"/>
    <x v="0"/>
    <n v="1"/>
    <n v="50"/>
    <n v="50"/>
    <n v="24.9"/>
    <n v="24.9"/>
    <n v="25.1"/>
    <n v="123507"/>
    <s v="Crédito"/>
    <s v="E-commerce"/>
    <n v="3"/>
    <n v="0"/>
    <n v="0"/>
    <n v="1.97"/>
    <n v="48.03"/>
    <n v="48.03"/>
  </r>
  <r>
    <d v="2021-01-29T00:00:00"/>
    <e v="#N/A"/>
    <x v="2"/>
    <m/>
    <m/>
    <n v="0"/>
    <e v="#N/A"/>
    <e v="#N/A"/>
    <e v="#N/A"/>
    <n v="123507"/>
    <s v="Crédito"/>
    <s v="E-commerce"/>
    <n v="3"/>
    <n v="0"/>
    <n v="0"/>
    <n v="0"/>
    <n v="0"/>
    <n v="0"/>
  </r>
  <r>
    <d v="2021-01-29T00:00:00"/>
    <e v="#N/A"/>
    <x v="2"/>
    <m/>
    <m/>
    <n v="0"/>
    <e v="#N/A"/>
    <e v="#N/A"/>
    <e v="#N/A"/>
    <n v="123507"/>
    <s v="Crédito"/>
    <s v="E-commerce"/>
    <n v="3"/>
    <n v="0"/>
    <n v="0"/>
    <n v="0"/>
    <n v="0"/>
    <n v="0"/>
  </r>
  <r>
    <d v="2021-01-29T00:00:00"/>
    <e v="#N/A"/>
    <x v="2"/>
    <m/>
    <m/>
    <n v="0"/>
    <e v="#N/A"/>
    <e v="#N/A"/>
    <e v="#N/A"/>
    <n v="123507"/>
    <s v="Crédito"/>
    <s v="E-commerce"/>
    <n v="3"/>
    <n v="0"/>
    <n v="0"/>
    <n v="0"/>
    <n v="0"/>
    <n v="0"/>
  </r>
  <r>
    <d v="2021-01-29T00:00:00"/>
    <n v="1001"/>
    <x v="0"/>
    <n v="1"/>
    <n v="50"/>
    <n v="50"/>
    <n v="24.9"/>
    <n v="24.9"/>
    <n v="25.1"/>
    <n v="123506"/>
    <s v="Crédito"/>
    <s v="E-commerce"/>
    <n v="3"/>
    <n v="0"/>
    <n v="0"/>
    <n v="1.97"/>
    <n v="48.03"/>
    <n v="48.03"/>
  </r>
  <r>
    <d v="2021-01-29T00:00:00"/>
    <n v="1002"/>
    <x v="5"/>
    <n v="1"/>
    <n v="50"/>
    <n v="50"/>
    <n v="18.5"/>
    <n v="18.5"/>
    <n v="31.5"/>
    <n v="123506"/>
    <s v="Crédito"/>
    <s v="E-commerce"/>
    <n v="3"/>
    <n v="0"/>
    <n v="0"/>
    <n v="1.97"/>
    <n v="48.03"/>
    <n v="48.03"/>
  </r>
  <r>
    <d v="2021-01-29T00:00:00"/>
    <n v="1006"/>
    <x v="7"/>
    <n v="1"/>
    <n v="50"/>
    <n v="50"/>
    <n v="35.5"/>
    <n v="35.5"/>
    <n v="14.5"/>
    <n v="123506"/>
    <s v="Crédito"/>
    <s v="E-commerce"/>
    <n v="3"/>
    <n v="0"/>
    <n v="0"/>
    <n v="1.97"/>
    <n v="48.03"/>
    <n v="48.03"/>
  </r>
  <r>
    <d v="2021-01-29T00:00:00"/>
    <n v="1007"/>
    <x v="8"/>
    <n v="1"/>
    <n v="50"/>
    <n v="50"/>
    <n v="29.9"/>
    <n v="29.9"/>
    <n v="20.100000000000001"/>
    <n v="123506"/>
    <s v="Crédito"/>
    <s v="E-commerce"/>
    <n v="3"/>
    <n v="0"/>
    <n v="0"/>
    <n v="1.97"/>
    <n v="48.03"/>
    <n v="48.03"/>
  </r>
  <r>
    <d v="2021-01-29T00:00:00"/>
    <n v="1008"/>
    <x v="3"/>
    <n v="1"/>
    <n v="50"/>
    <n v="50"/>
    <n v="32.9"/>
    <n v="32.9"/>
    <n v="17.100000000000001"/>
    <n v="123506"/>
    <s v="Crédito"/>
    <s v="E-commerce"/>
    <n v="3"/>
    <n v="0"/>
    <n v="0"/>
    <n v="1.97"/>
    <n v="48.03"/>
    <n v="48.03"/>
  </r>
  <r>
    <d v="2021-01-29T00:00:00"/>
    <n v="1004"/>
    <x v="4"/>
    <n v="1"/>
    <n v="191.5"/>
    <n v="191.5"/>
    <n v="99.5"/>
    <n v="99.5"/>
    <n v="92"/>
    <n v="123505"/>
    <s v="Pix"/>
    <s v="E-commerce"/>
    <m/>
    <n v="0"/>
    <n v="0"/>
    <n v="0"/>
    <n v="0"/>
    <n v="191.5"/>
  </r>
  <r>
    <d v="2021-01-29T00:00:00"/>
    <n v="1007"/>
    <x v="8"/>
    <n v="1"/>
    <n v="55"/>
    <n v="55"/>
    <n v="29.9"/>
    <n v="29.9"/>
    <n v="25.1"/>
    <n v="123505"/>
    <s v="Pix"/>
    <s v="E-commerce"/>
    <m/>
    <n v="0"/>
    <n v="0"/>
    <n v="0"/>
    <n v="0"/>
    <n v="55"/>
  </r>
  <r>
    <d v="2021-01-29T00:00:00"/>
    <e v="#N/A"/>
    <x v="2"/>
    <m/>
    <m/>
    <n v="0"/>
    <e v="#N/A"/>
    <e v="#N/A"/>
    <e v="#N/A"/>
    <n v="123505"/>
    <s v="Pix"/>
    <s v="E-commerce"/>
    <m/>
    <n v="0"/>
    <n v="0"/>
    <n v="0"/>
    <n v="0"/>
    <n v="0"/>
  </r>
  <r>
    <d v="2021-01-29T00:00:00"/>
    <e v="#N/A"/>
    <x v="2"/>
    <m/>
    <m/>
    <n v="0"/>
    <e v="#N/A"/>
    <e v="#N/A"/>
    <e v="#N/A"/>
    <n v="123505"/>
    <s v="Pix"/>
    <s v="E-commerce"/>
    <m/>
    <n v="0"/>
    <n v="0"/>
    <n v="0"/>
    <n v="0"/>
    <n v="0"/>
  </r>
  <r>
    <d v="2021-01-29T00:00:00"/>
    <e v="#N/A"/>
    <x v="2"/>
    <m/>
    <m/>
    <n v="0"/>
    <e v="#N/A"/>
    <e v="#N/A"/>
    <e v="#N/A"/>
    <n v="123505"/>
    <s v="Pix"/>
    <s v="E-commerce"/>
    <m/>
    <n v="0"/>
    <n v="0"/>
    <n v="0"/>
    <n v="0"/>
    <n v="0"/>
  </r>
  <r>
    <d v="2021-01-29T00:00:00"/>
    <n v="1009"/>
    <x v="9"/>
    <n v="1"/>
    <n v="65"/>
    <n v="65"/>
    <n v="38.9"/>
    <n v="38.9"/>
    <n v="26.1"/>
    <n v="123504"/>
    <s v="Dinheiro"/>
    <s v="Loja física"/>
    <m/>
    <n v="0"/>
    <n v="0"/>
    <n v="0"/>
    <n v="0"/>
    <n v="65"/>
  </r>
  <r>
    <d v="2021-01-29T00:00:00"/>
    <n v="1008"/>
    <x v="3"/>
    <n v="1"/>
    <n v="50"/>
    <n v="50"/>
    <n v="32.9"/>
    <n v="32.9"/>
    <n v="17.100000000000001"/>
    <n v="123504"/>
    <s v="Dinheiro"/>
    <s v="Loja física"/>
    <m/>
    <n v="0"/>
    <n v="0"/>
    <n v="0"/>
    <n v="0"/>
    <n v="50"/>
  </r>
  <r>
    <d v="2021-01-29T00:00:00"/>
    <n v="1010"/>
    <x v="10"/>
    <n v="1"/>
    <n v="55"/>
    <n v="55"/>
    <n v="18.899999999999999"/>
    <n v="18.899999999999999"/>
    <n v="36.1"/>
    <n v="123504"/>
    <s v="Dinheiro"/>
    <s v="Loja física"/>
    <m/>
    <n v="0"/>
    <n v="0"/>
    <n v="0"/>
    <n v="0"/>
    <n v="55"/>
  </r>
  <r>
    <d v="2021-01-29T00:00:00"/>
    <n v="1002"/>
    <x v="5"/>
    <n v="1"/>
    <n v="50"/>
    <n v="50"/>
    <n v="18.5"/>
    <n v="18.5"/>
    <n v="31.5"/>
    <n v="123504"/>
    <s v="Dinheiro"/>
    <s v="Loja física"/>
    <m/>
    <n v="0"/>
    <n v="0"/>
    <n v="0"/>
    <n v="0"/>
    <n v="50"/>
  </r>
  <r>
    <d v="2021-01-29T00:00:00"/>
    <n v="1001"/>
    <x v="0"/>
    <n v="1"/>
    <n v="65"/>
    <n v="65"/>
    <n v="24.9"/>
    <n v="24.9"/>
    <n v="40.1"/>
    <n v="123504"/>
    <s v="Dinheiro"/>
    <s v="Loja física"/>
    <m/>
    <n v="0"/>
    <n v="0"/>
    <n v="0"/>
    <n v="0"/>
    <n v="65"/>
  </r>
  <r>
    <d v="2021-01-29T00:00:00"/>
    <n v="1001"/>
    <x v="0"/>
    <n v="1"/>
    <n v="50"/>
    <n v="50"/>
    <n v="24.9"/>
    <n v="24.9"/>
    <n v="25.1"/>
    <n v="123503"/>
    <s v="Débito"/>
    <s v="Loja física"/>
    <m/>
    <n v="0.99500000000000011"/>
    <n v="49.005000000000003"/>
    <n v="0"/>
    <n v="0"/>
    <n v="49.005000000000003"/>
  </r>
  <r>
    <d v="2021-01-29T00:00:00"/>
    <n v="1002"/>
    <x v="5"/>
    <n v="1"/>
    <n v="50"/>
    <n v="50"/>
    <n v="18.5"/>
    <n v="18.5"/>
    <n v="31.5"/>
    <n v="123503"/>
    <s v="Débito"/>
    <s v="Loja física"/>
    <m/>
    <n v="0.99500000000000011"/>
    <n v="49.005000000000003"/>
    <n v="0"/>
    <n v="0"/>
    <n v="49.005000000000003"/>
  </r>
  <r>
    <d v="2021-01-29T00:00:00"/>
    <n v="1006"/>
    <x v="7"/>
    <n v="1"/>
    <n v="50"/>
    <n v="50"/>
    <n v="35.5"/>
    <n v="35.5"/>
    <n v="14.5"/>
    <n v="123503"/>
    <s v="Débito"/>
    <s v="Loja física"/>
    <m/>
    <n v="0.99500000000000011"/>
    <n v="49.005000000000003"/>
    <n v="0"/>
    <n v="0"/>
    <n v="49.005000000000003"/>
  </r>
  <r>
    <d v="2021-01-29T00:00:00"/>
    <n v="1009"/>
    <x v="9"/>
    <n v="1"/>
    <n v="50"/>
    <n v="50"/>
    <n v="38.9"/>
    <n v="38.9"/>
    <n v="11.100000000000001"/>
    <n v="123503"/>
    <s v="Débito"/>
    <s v="Loja física"/>
    <m/>
    <n v="0.99500000000000011"/>
    <n v="49.005000000000003"/>
    <n v="0"/>
    <n v="0"/>
    <n v="49.005000000000003"/>
  </r>
  <r>
    <d v="2021-01-29T00:00:00"/>
    <n v="1007"/>
    <x v="8"/>
    <n v="1"/>
    <n v="50"/>
    <n v="50"/>
    <n v="29.9"/>
    <n v="29.9"/>
    <n v="20.100000000000001"/>
    <n v="123503"/>
    <s v="Débito"/>
    <s v="Loja física"/>
    <m/>
    <n v="0.99500000000000011"/>
    <n v="49.005000000000003"/>
    <n v="0"/>
    <n v="0"/>
    <n v="49.005000000000003"/>
  </r>
  <r>
    <d v="2021-01-29T00:00:00"/>
    <n v="1010"/>
    <x v="10"/>
    <n v="1"/>
    <n v="50"/>
    <n v="50"/>
    <n v="18.899999999999999"/>
    <n v="18.899999999999999"/>
    <n v="31.1"/>
    <n v="123502"/>
    <s v="Crédito"/>
    <s v="E-commerce"/>
    <n v="2"/>
    <n v="0"/>
    <n v="0"/>
    <n v="1.8000000000000003"/>
    <n v="48.2"/>
    <n v="48.2"/>
  </r>
  <r>
    <d v="2021-01-29T00:00:00"/>
    <n v="1009"/>
    <x v="9"/>
    <n v="1"/>
    <n v="50"/>
    <n v="50"/>
    <n v="38.9"/>
    <n v="38.9"/>
    <n v="11.100000000000001"/>
    <n v="123502"/>
    <s v="Crédito"/>
    <s v="E-commerce"/>
    <n v="2"/>
    <n v="0"/>
    <n v="0"/>
    <n v="1.8000000000000003"/>
    <n v="48.2"/>
    <n v="48.2"/>
  </r>
  <r>
    <d v="2021-01-29T00:00:00"/>
    <n v="1008"/>
    <x v="3"/>
    <n v="1"/>
    <n v="50"/>
    <n v="50"/>
    <n v="32.9"/>
    <n v="32.9"/>
    <n v="17.100000000000001"/>
    <n v="123502"/>
    <s v="Crédito"/>
    <s v="E-commerce"/>
    <n v="2"/>
    <n v="0"/>
    <n v="0"/>
    <n v="1.8000000000000003"/>
    <n v="48.2"/>
    <n v="48.2"/>
  </r>
  <r>
    <d v="2021-01-29T00:00:00"/>
    <n v="1007"/>
    <x v="8"/>
    <n v="1"/>
    <n v="50"/>
    <n v="50"/>
    <n v="29.9"/>
    <n v="29.9"/>
    <n v="20.100000000000001"/>
    <n v="123502"/>
    <s v="Crédito"/>
    <s v="E-commerce"/>
    <n v="2"/>
    <n v="0"/>
    <n v="0"/>
    <n v="1.8000000000000003"/>
    <n v="48.2"/>
    <n v="48.2"/>
  </r>
  <r>
    <d v="2021-01-29T00:00:00"/>
    <n v="1006"/>
    <x v="7"/>
    <n v="1"/>
    <n v="75"/>
    <n v="75"/>
    <n v="35.5"/>
    <n v="35.5"/>
    <n v="39.5"/>
    <n v="123502"/>
    <s v="Crédito"/>
    <s v="E-commerce"/>
    <n v="2"/>
    <n v="0"/>
    <n v="0"/>
    <n v="2.7"/>
    <n v="72.3"/>
    <n v="72.3"/>
  </r>
  <r>
    <d v="2021-01-29T00:00:00"/>
    <n v="1001"/>
    <x v="0"/>
    <n v="1"/>
    <n v="50"/>
    <n v="50"/>
    <n v="24.9"/>
    <n v="24.9"/>
    <n v="25.1"/>
    <n v="123501"/>
    <s v="Crédito"/>
    <s v="E-commerce"/>
    <n v="2"/>
    <n v="0"/>
    <n v="0"/>
    <n v="1.8000000000000003"/>
    <n v="48.2"/>
    <n v="48.2"/>
  </r>
  <r>
    <d v="2021-01-29T00:00:00"/>
    <n v="1002"/>
    <x v="5"/>
    <n v="1"/>
    <n v="50"/>
    <n v="50"/>
    <n v="18.5"/>
    <n v="18.5"/>
    <n v="31.5"/>
    <n v="123501"/>
    <s v="Crédito"/>
    <s v="E-commerce"/>
    <n v="2"/>
    <n v="0"/>
    <n v="0"/>
    <n v="1.8000000000000003"/>
    <n v="48.2"/>
    <n v="48.2"/>
  </r>
  <r>
    <d v="2021-01-29T00:00:00"/>
    <n v="1007"/>
    <x v="8"/>
    <n v="1"/>
    <n v="50"/>
    <n v="50"/>
    <n v="29.9"/>
    <n v="29.9"/>
    <n v="20.100000000000001"/>
    <n v="123501"/>
    <s v="Crédito"/>
    <s v="E-commerce"/>
    <n v="2"/>
    <n v="0"/>
    <n v="0"/>
    <n v="1.8000000000000003"/>
    <n v="48.2"/>
    <n v="48.2"/>
  </r>
  <r>
    <d v="2021-01-29T00:00:00"/>
    <n v="1006"/>
    <x v="7"/>
    <n v="1"/>
    <n v="50"/>
    <n v="50"/>
    <n v="35.5"/>
    <n v="35.5"/>
    <n v="14.5"/>
    <n v="123501"/>
    <s v="Crédito"/>
    <s v="E-commerce"/>
    <n v="2"/>
    <n v="0"/>
    <n v="0"/>
    <n v="1.8000000000000003"/>
    <n v="48.2"/>
    <n v="48.2"/>
  </r>
  <r>
    <d v="2021-01-29T00:00:00"/>
    <n v="1008"/>
    <x v="3"/>
    <n v="1"/>
    <n v="50"/>
    <n v="50"/>
    <n v="32.9"/>
    <n v="32.9"/>
    <n v="17.100000000000001"/>
    <n v="123501"/>
    <s v="Crédito"/>
    <s v="E-commerce"/>
    <m/>
    <n v="0"/>
    <n v="0"/>
    <n v="1.8000000000000003"/>
    <n v="48.2"/>
    <n v="48.2"/>
  </r>
  <r>
    <d v="2020-09-20T00:00:00"/>
    <n v="1001"/>
    <x v="0"/>
    <n v="10"/>
    <n v="65"/>
    <n v="650"/>
    <n v="24.9"/>
    <n v="249"/>
    <n v="401"/>
    <n v="123500"/>
    <s v="Crédito"/>
    <s v="E-commerce"/>
    <n v="6"/>
    <n v="0"/>
    <n v="0"/>
    <n v="32.044999999999995"/>
    <n v="617.95500000000004"/>
    <n v="617.95500000000004"/>
  </r>
  <r>
    <d v="2020-09-20T00:00:00"/>
    <n v="1002"/>
    <x v="5"/>
    <n v="10"/>
    <n v="50"/>
    <n v="500"/>
    <n v="18.5"/>
    <n v="185"/>
    <n v="315"/>
    <n v="123500"/>
    <s v="Crédito"/>
    <s v="E-commerce"/>
    <n v="6"/>
    <n v="0"/>
    <n v="0"/>
    <n v="0"/>
    <n v="500"/>
    <n v="500"/>
  </r>
  <r>
    <d v="2020-09-20T00:00:00"/>
    <e v="#N/A"/>
    <x v="2"/>
    <m/>
    <m/>
    <n v="0"/>
    <e v="#N/A"/>
    <e v="#N/A"/>
    <e v="#N/A"/>
    <n v="123500"/>
    <s v="Crédito"/>
    <s v="E-commerce"/>
    <n v="6"/>
    <n v="0"/>
    <n v="0"/>
    <n v="0"/>
    <n v="0"/>
    <n v="0"/>
  </r>
  <r>
    <d v="2020-09-20T00:00:00"/>
    <e v="#N/A"/>
    <x v="2"/>
    <m/>
    <m/>
    <n v="0"/>
    <e v="#N/A"/>
    <e v="#N/A"/>
    <e v="#N/A"/>
    <n v="123500"/>
    <s v="Crédito"/>
    <s v="E-commerce"/>
    <n v="6"/>
    <n v="0"/>
    <n v="0"/>
    <n v="0"/>
    <n v="0"/>
    <n v="0"/>
  </r>
  <r>
    <d v="2020-09-20T00:00:00"/>
    <e v="#N/A"/>
    <x v="2"/>
    <m/>
    <m/>
    <n v="0"/>
    <e v="#N/A"/>
    <e v="#N/A"/>
    <e v="#N/A"/>
    <n v="123500"/>
    <s v="Crédito"/>
    <s v="E-commerce"/>
    <m/>
    <n v="0"/>
    <n v="0"/>
    <n v="0"/>
    <n v="0"/>
    <n v="0"/>
  </r>
  <r>
    <d v="2020-09-08T00:00:00"/>
    <n v="1010"/>
    <x v="10"/>
    <n v="10"/>
    <n v="50"/>
    <n v="500"/>
    <n v="18.899999999999999"/>
    <n v="189"/>
    <n v="311"/>
    <n v="123499"/>
    <s v="Dinheiro"/>
    <s v="Loja física"/>
    <m/>
    <n v="0"/>
    <n v="0"/>
    <n v="0"/>
    <n v="0"/>
    <n v="500"/>
  </r>
  <r>
    <d v="2020-09-08T00:00:00"/>
    <n v="1009"/>
    <x v="9"/>
    <n v="10"/>
    <n v="85"/>
    <n v="850"/>
    <n v="38.9"/>
    <n v="389"/>
    <n v="461"/>
    <n v="123499"/>
    <s v="Dinheiro"/>
    <s v="Loja física"/>
    <m/>
    <n v="0"/>
    <n v="0"/>
    <n v="0"/>
    <n v="0"/>
    <n v="850"/>
  </r>
  <r>
    <d v="2020-09-08T00:00:00"/>
    <n v="1008"/>
    <x v="3"/>
    <n v="6"/>
    <n v="75"/>
    <n v="450"/>
    <n v="32.9"/>
    <n v="197.39999999999998"/>
    <n v="252.60000000000002"/>
    <n v="123499"/>
    <s v="Dinheiro"/>
    <s v="Loja física"/>
    <m/>
    <n v="0"/>
    <n v="0"/>
    <n v="0"/>
    <n v="0"/>
    <n v="450"/>
  </r>
  <r>
    <d v="2020-09-08T00:00:00"/>
    <n v="1006"/>
    <x v="7"/>
    <n v="5"/>
    <n v="50"/>
    <n v="250"/>
    <n v="35.5"/>
    <n v="177.5"/>
    <n v="72.5"/>
    <n v="123499"/>
    <s v="Dinheiro"/>
    <s v="Loja física"/>
    <m/>
    <n v="0"/>
    <n v="0"/>
    <n v="0"/>
    <n v="0"/>
    <n v="250"/>
  </r>
  <r>
    <d v="2020-09-08T00:00:00"/>
    <n v="1004"/>
    <x v="4"/>
    <n v="1"/>
    <n v="180"/>
    <n v="180"/>
    <n v="99.5"/>
    <n v="99.5"/>
    <n v="80.5"/>
    <n v="123499"/>
    <s v="Dinheiro"/>
    <s v="Loja física"/>
    <m/>
    <n v="0"/>
    <n v="0"/>
    <n v="0"/>
    <n v="0"/>
    <n v="180"/>
  </r>
  <r>
    <d v="2020-09-01T00:00:00"/>
    <n v="1001"/>
    <x v="0"/>
    <n v="5"/>
    <n v="55"/>
    <n v="275"/>
    <n v="24.9"/>
    <n v="124.5"/>
    <n v="150.5"/>
    <n v="123498"/>
    <s v="Pix"/>
    <s v="Loja física"/>
    <m/>
    <n v="0"/>
    <n v="0"/>
    <n v="0"/>
    <n v="0"/>
    <n v="275"/>
  </r>
  <r>
    <d v="2020-09-01T00:00:00"/>
    <n v="1003"/>
    <x v="1"/>
    <n v="5"/>
    <n v="180"/>
    <n v="900"/>
    <n v="85.9"/>
    <n v="429.5"/>
    <n v="470.5"/>
    <n v="123498"/>
    <s v="Pix"/>
    <s v="Loja física"/>
    <m/>
    <n v="0"/>
    <n v="0"/>
    <n v="0"/>
    <n v="0"/>
    <n v="900"/>
  </r>
  <r>
    <d v="2020-09-01T00:00:00"/>
    <n v="1007"/>
    <x v="8"/>
    <n v="8"/>
    <n v="65"/>
    <n v="520"/>
    <n v="29.9"/>
    <n v="239.2"/>
    <n v="280.8"/>
    <n v="123498"/>
    <s v="Pix"/>
    <s v="Loja física"/>
    <m/>
    <n v="0"/>
    <n v="0"/>
    <n v="0"/>
    <n v="0"/>
    <n v="520"/>
  </r>
  <r>
    <d v="2020-09-01T00:00:00"/>
    <n v="1002"/>
    <x v="5"/>
    <n v="5"/>
    <n v="58"/>
    <n v="290"/>
    <n v="18.5"/>
    <n v="92.5"/>
    <n v="197.5"/>
    <n v="123498"/>
    <s v="Pix"/>
    <s v="Loja física"/>
    <m/>
    <n v="0"/>
    <n v="0"/>
    <n v="0"/>
    <n v="0"/>
    <n v="290"/>
  </r>
  <r>
    <d v="2020-09-01T00:00:00"/>
    <n v="1010"/>
    <x v="10"/>
    <n v="10"/>
    <n v="59"/>
    <n v="590"/>
    <n v="18.899999999999999"/>
    <n v="189"/>
    <n v="401"/>
    <n v="123498"/>
    <s v="Pix"/>
    <s v="Loja física"/>
    <m/>
    <n v="0"/>
    <n v="0"/>
    <n v="0"/>
    <n v="0"/>
    <n v="590"/>
  </r>
  <r>
    <d v="2020-10-08T00:00:00"/>
    <n v="1001"/>
    <x v="0"/>
    <n v="5"/>
    <n v="50"/>
    <n v="250"/>
    <n v="24.9"/>
    <n v="124.5"/>
    <n v="125.5"/>
    <n v="123497"/>
    <s v="Pix"/>
    <s v="E-commerce"/>
    <m/>
    <n v="0"/>
    <n v="0"/>
    <n v="0"/>
    <n v="0"/>
    <n v="250"/>
  </r>
  <r>
    <d v="2020-10-08T00:00:00"/>
    <n v="1006"/>
    <x v="7"/>
    <n v="4"/>
    <n v="50"/>
    <n v="200"/>
    <n v="35.5"/>
    <n v="142"/>
    <n v="58"/>
    <n v="123497"/>
    <s v="Pix"/>
    <s v="E-commerce"/>
    <m/>
    <n v="0"/>
    <n v="0"/>
    <n v="0"/>
    <n v="0"/>
    <n v="200"/>
  </r>
  <r>
    <d v="2020-10-08T00:00:00"/>
    <n v="1007"/>
    <x v="8"/>
    <n v="2"/>
    <n v="45"/>
    <n v="90"/>
    <n v="29.9"/>
    <n v="59.8"/>
    <n v="30.200000000000003"/>
    <n v="123497"/>
    <s v="Pix"/>
    <s v="E-commerce"/>
    <m/>
    <n v="0"/>
    <n v="0"/>
    <n v="0"/>
    <n v="0"/>
    <n v="90"/>
  </r>
  <r>
    <d v="2020-10-08T00:00:00"/>
    <n v="1005"/>
    <x v="6"/>
    <n v="2"/>
    <n v="181"/>
    <n v="362"/>
    <n v="91.5"/>
    <n v="183"/>
    <n v="179"/>
    <n v="123497"/>
    <s v="Pix"/>
    <s v="E-commerce"/>
    <m/>
    <n v="0"/>
    <n v="0"/>
    <n v="0"/>
    <n v="0"/>
    <n v="362"/>
  </r>
  <r>
    <d v="2020-10-08T00:00:00"/>
    <n v="1004"/>
    <x v="4"/>
    <n v="1"/>
    <n v="199.5"/>
    <n v="199.5"/>
    <n v="99.5"/>
    <n v="99.5"/>
    <n v="100"/>
    <n v="123497"/>
    <s v="Pix"/>
    <s v="E-commerce"/>
    <m/>
    <n v="0"/>
    <n v="0"/>
    <n v="0"/>
    <n v="0"/>
    <n v="199.5"/>
  </r>
  <r>
    <d v="2020-10-01T00:00:00"/>
    <n v="1005"/>
    <x v="6"/>
    <n v="2"/>
    <n v="181.8"/>
    <n v="363.6"/>
    <n v="91.5"/>
    <n v="183"/>
    <n v="180.60000000000002"/>
    <n v="123496"/>
    <s v="Débito"/>
    <s v="Loja física"/>
    <m/>
    <n v="7.235640000000001"/>
    <n v="356.36436000000003"/>
    <n v="0"/>
    <n v="0"/>
    <n v="356.36436000000003"/>
  </r>
  <r>
    <d v="2020-10-01T00:00:00"/>
    <n v="1006"/>
    <x v="7"/>
    <n v="5"/>
    <n v="65.599999999999994"/>
    <n v="328"/>
    <n v="35.5"/>
    <n v="177.5"/>
    <n v="150.5"/>
    <n v="123496"/>
    <s v="Débito"/>
    <s v="Loja física"/>
    <m/>
    <n v="6.5272000000000006"/>
    <n v="321.47280000000001"/>
    <n v="0"/>
    <n v="0"/>
    <n v="321.47280000000001"/>
  </r>
  <r>
    <d v="2020-10-01T00:00:00"/>
    <n v="1007"/>
    <x v="8"/>
    <n v="4"/>
    <n v="50"/>
    <n v="200"/>
    <n v="29.9"/>
    <n v="119.6"/>
    <n v="80.400000000000006"/>
    <n v="123496"/>
    <s v="Débito"/>
    <s v="Loja física"/>
    <m/>
    <n v="3.9800000000000004"/>
    <n v="196.02"/>
    <n v="0"/>
    <n v="0"/>
    <n v="196.02"/>
  </r>
  <r>
    <d v="2020-10-01T00:00:00"/>
    <n v="1008"/>
    <x v="3"/>
    <n v="7"/>
    <n v="55"/>
    <n v="385"/>
    <n v="32.9"/>
    <n v="230.29999999999998"/>
    <n v="154.70000000000002"/>
    <n v="123496"/>
    <s v="Débito"/>
    <s v="Loja física"/>
    <m/>
    <n v="7.6615000000000002"/>
    <n v="377.33850000000001"/>
    <n v="0"/>
    <n v="0"/>
    <n v="377.33850000000001"/>
  </r>
  <r>
    <d v="2020-10-01T00:00:00"/>
    <n v="1010"/>
    <x v="10"/>
    <n v="5"/>
    <n v="54.9"/>
    <n v="274.5"/>
    <n v="18.899999999999999"/>
    <n v="94.5"/>
    <n v="180"/>
    <n v="123496"/>
    <s v="Débito"/>
    <s v="Loja física"/>
    <m/>
    <n v="5.4625500000000002"/>
    <n v="269.03744999999998"/>
    <n v="0"/>
    <n v="0"/>
    <n v="269.03744999999998"/>
  </r>
  <r>
    <d v="2020-11-05T00:00:00"/>
    <n v="1010"/>
    <x v="10"/>
    <n v="9"/>
    <n v="55"/>
    <n v="495"/>
    <n v="18.899999999999999"/>
    <n v="170.1"/>
    <n v="324.89999999999998"/>
    <n v="123495"/>
    <s v="Crédito"/>
    <s v="E-commerce"/>
    <n v="6"/>
    <n v="0"/>
    <n v="0"/>
    <n v="24.403499999999998"/>
    <n v="470.59649999999999"/>
    <n v="470.59649999999999"/>
  </r>
  <r>
    <d v="2020-11-05T00:00:00"/>
    <n v="1009"/>
    <x v="9"/>
    <n v="10"/>
    <n v="59"/>
    <n v="590"/>
    <n v="38.9"/>
    <n v="389"/>
    <n v="201"/>
    <n v="123495"/>
    <s v="Crédito"/>
    <s v="E-commerce"/>
    <n v="6"/>
    <n v="0"/>
    <n v="0"/>
    <n v="0"/>
    <n v="590"/>
    <n v="590"/>
  </r>
  <r>
    <d v="2020-11-05T00:00:00"/>
    <n v="1008"/>
    <x v="3"/>
    <n v="7"/>
    <n v="50"/>
    <n v="350"/>
    <n v="32.9"/>
    <n v="230.29999999999998"/>
    <n v="119.70000000000002"/>
    <n v="123495"/>
    <s v="Crédito"/>
    <s v="E-commerce"/>
    <n v="6"/>
    <n v="0"/>
    <n v="0"/>
    <n v="17.254999999999999"/>
    <n v="332.745"/>
    <n v="332.745"/>
  </r>
  <r>
    <d v="2020-11-05T00:00:00"/>
    <n v="1007"/>
    <x v="8"/>
    <n v="8"/>
    <n v="60"/>
    <n v="480"/>
    <n v="29.9"/>
    <n v="239.2"/>
    <n v="240.8"/>
    <n v="123495"/>
    <s v="Crédito"/>
    <s v="E-commerce"/>
    <n v="6"/>
    <n v="0"/>
    <n v="0"/>
    <n v="23.663999999999998"/>
    <n v="456.33600000000001"/>
    <n v="456.33600000000001"/>
  </r>
  <r>
    <d v="2020-11-05T00:00:00"/>
    <n v="1005"/>
    <x v="6"/>
    <n v="4"/>
    <n v="181.5"/>
    <n v="726"/>
    <n v="91.5"/>
    <n v="366"/>
    <n v="360"/>
    <n v="123495"/>
    <s v="Crédito"/>
    <s v="E-commerce"/>
    <m/>
    <n v="0"/>
    <n v="0"/>
    <n v="35.791799999999995"/>
    <n v="690.20820000000003"/>
    <n v="690.20820000000003"/>
  </r>
  <r>
    <d v="2020-11-01T00:00:00"/>
    <n v="1005"/>
    <x v="6"/>
    <n v="1"/>
    <n v="181.5"/>
    <n v="181.5"/>
    <n v="91.5"/>
    <n v="91.5"/>
    <n v="90"/>
    <n v="123494"/>
    <s v="Dinheiro"/>
    <s v="Loja física"/>
    <m/>
    <n v="0"/>
    <n v="0"/>
    <n v="0"/>
    <n v="0"/>
    <n v="181.5"/>
  </r>
  <r>
    <d v="2020-11-01T00:00:00"/>
    <n v="1006"/>
    <x v="7"/>
    <n v="5"/>
    <n v="50"/>
    <n v="250"/>
    <n v="35.5"/>
    <n v="177.5"/>
    <n v="72.5"/>
    <n v="123494"/>
    <s v="Dinheiro"/>
    <s v="Loja física"/>
    <m/>
    <n v="0"/>
    <n v="0"/>
    <n v="0"/>
    <n v="0"/>
    <n v="250"/>
  </r>
  <r>
    <d v="2020-11-01T00:00:00"/>
    <n v="1007"/>
    <x v="8"/>
    <n v="4"/>
    <n v="50"/>
    <n v="200"/>
    <n v="29.9"/>
    <n v="119.6"/>
    <n v="80.400000000000006"/>
    <n v="123494"/>
    <s v="Dinheiro"/>
    <s v="Loja física"/>
    <m/>
    <n v="0"/>
    <n v="0"/>
    <n v="0"/>
    <n v="0"/>
    <n v="200"/>
  </r>
  <r>
    <d v="2020-11-01T00:00:00"/>
    <n v="1009"/>
    <x v="9"/>
    <n v="7"/>
    <n v="65"/>
    <n v="455"/>
    <n v="38.9"/>
    <n v="272.3"/>
    <n v="182.7"/>
    <n v="123494"/>
    <s v="Dinheiro"/>
    <s v="Loja física"/>
    <m/>
    <n v="0"/>
    <n v="0"/>
    <n v="0"/>
    <n v="0"/>
    <n v="455"/>
  </r>
  <r>
    <d v="2020-11-01T00:00:00"/>
    <n v="1010"/>
    <x v="10"/>
    <n v="6"/>
    <n v="50"/>
    <n v="300"/>
    <n v="18.899999999999999"/>
    <n v="113.39999999999999"/>
    <n v="186.60000000000002"/>
    <n v="123494"/>
    <s v="Dinheiro"/>
    <s v="Loja física"/>
    <m/>
    <n v="0"/>
    <n v="0"/>
    <n v="0"/>
    <n v="0"/>
    <n v="300"/>
  </r>
  <r>
    <d v="2020-12-10T00:00:00"/>
    <n v="1001"/>
    <x v="0"/>
    <n v="5"/>
    <n v="65"/>
    <n v="325"/>
    <n v="24.9"/>
    <n v="124.5"/>
    <n v="200.5"/>
    <n v="123493"/>
    <s v="Crédito"/>
    <s v="E-commerce"/>
    <n v="8"/>
    <n v="0"/>
    <n v="0"/>
    <n v="20.052499999999998"/>
    <n v="304.94749999999999"/>
    <n v="304.94749999999999"/>
  </r>
  <r>
    <d v="2020-12-10T00:00:00"/>
    <n v="1002"/>
    <x v="5"/>
    <n v="7"/>
    <n v="50"/>
    <n v="350"/>
    <n v="18.5"/>
    <n v="129.5"/>
    <n v="220.5"/>
    <n v="123493"/>
    <s v="Crédito"/>
    <s v="E-commerce"/>
    <n v="8"/>
    <n v="0"/>
    <n v="0"/>
    <n v="21.594999999999999"/>
    <n v="328.40499999999997"/>
    <n v="328.40499999999997"/>
  </r>
  <r>
    <d v="2020-12-10T00:00:00"/>
    <n v="1003"/>
    <x v="1"/>
    <n v="5"/>
    <n v="181"/>
    <n v="905"/>
    <n v="85.9"/>
    <n v="429.5"/>
    <n v="475.5"/>
    <n v="123493"/>
    <s v="Crédito"/>
    <s v="E-commerce"/>
    <n v="8"/>
    <n v="0"/>
    <n v="0"/>
    <n v="55.838499999999996"/>
    <n v="849.16150000000005"/>
    <n v="849.16150000000005"/>
  </r>
  <r>
    <d v="2020-12-10T00:00:00"/>
    <n v="1005"/>
    <x v="6"/>
    <n v="5"/>
    <n v="191"/>
    <n v="955"/>
    <n v="91.5"/>
    <n v="457.5"/>
    <n v="497.5"/>
    <n v="123493"/>
    <s v="Crédito"/>
    <s v="E-commerce"/>
    <n v="8"/>
    <n v="0"/>
    <n v="0"/>
    <n v="58.923499999999997"/>
    <n v="896.07650000000001"/>
    <n v="896.07650000000001"/>
  </r>
  <r>
    <d v="2020-12-10T00:00:00"/>
    <n v="1010"/>
    <x v="10"/>
    <n v="3"/>
    <n v="200"/>
    <n v="600"/>
    <n v="18.899999999999999"/>
    <n v="56.699999999999996"/>
    <n v="543.29999999999995"/>
    <n v="123493"/>
    <s v="Crédito"/>
    <s v="E-commerce"/>
    <m/>
    <n v="0"/>
    <n v="0"/>
    <n v="37.019999999999996"/>
    <n v="562.98"/>
    <n v="562.98"/>
  </r>
  <r>
    <d v="2021-01-12T00:00:00"/>
    <n v="1010"/>
    <x v="10"/>
    <n v="1"/>
    <n v="56"/>
    <n v="56"/>
    <n v="18.899999999999999"/>
    <n v="18.899999999999999"/>
    <n v="37.1"/>
    <n v="123492"/>
    <s v="Pix"/>
    <s v="Loja física"/>
    <m/>
    <n v="0"/>
    <n v="0"/>
    <n v="0"/>
    <n v="0"/>
    <n v="56"/>
  </r>
  <r>
    <d v="2021-01-12T00:00:00"/>
    <n v="1009"/>
    <x v="9"/>
    <n v="1"/>
    <n v="50"/>
    <n v="50"/>
    <n v="38.9"/>
    <n v="38.9"/>
    <n v="11.100000000000001"/>
    <n v="123492"/>
    <s v="Pix"/>
    <s v="Loja física"/>
    <m/>
    <n v="0"/>
    <n v="0"/>
    <n v="0"/>
    <n v="0"/>
    <n v="50"/>
  </r>
  <r>
    <d v="2021-01-12T00:00:00"/>
    <n v="1008"/>
    <x v="3"/>
    <n v="1"/>
    <n v="55"/>
    <n v="55"/>
    <n v="32.9"/>
    <n v="32.9"/>
    <n v="22.1"/>
    <n v="123492"/>
    <s v="Pix"/>
    <s v="Loja física"/>
    <m/>
    <n v="0"/>
    <n v="0"/>
    <n v="0"/>
    <n v="0"/>
    <n v="55"/>
  </r>
  <r>
    <d v="2021-01-12T00:00:00"/>
    <n v="1007"/>
    <x v="8"/>
    <n v="1"/>
    <n v="50"/>
    <n v="50"/>
    <n v="29.9"/>
    <n v="29.9"/>
    <n v="20.100000000000001"/>
    <n v="123492"/>
    <s v="Pix"/>
    <s v="Loja física"/>
    <m/>
    <n v="0"/>
    <n v="0"/>
    <n v="0"/>
    <n v="0"/>
    <n v="50"/>
  </r>
  <r>
    <d v="2021-01-12T00:00:00"/>
    <n v="1005"/>
    <x v="6"/>
    <n v="1"/>
    <n v="181"/>
    <n v="181"/>
    <n v="91.5"/>
    <n v="91.5"/>
    <n v="89.5"/>
    <n v="123492"/>
    <s v="Pix"/>
    <s v="Loja física"/>
    <m/>
    <n v="0"/>
    <n v="0"/>
    <n v="0"/>
    <n v="0"/>
    <n v="181"/>
  </r>
  <r>
    <d v="2021-01-18T00:00:00"/>
    <n v="1001"/>
    <x v="0"/>
    <n v="5"/>
    <n v="80"/>
    <n v="400"/>
    <n v="24.9"/>
    <n v="124.5"/>
    <n v="275.5"/>
    <n v="123491"/>
    <s v="Crédito"/>
    <s v="E-commerce"/>
    <n v="6"/>
    <n v="0"/>
    <n v="0"/>
    <n v="19.72"/>
    <n v="380.28"/>
    <n v="380.28"/>
  </r>
  <r>
    <d v="2021-01-18T00:00:00"/>
    <n v="1002"/>
    <x v="5"/>
    <n v="3"/>
    <n v="69"/>
    <n v="207"/>
    <n v="18.5"/>
    <n v="55.5"/>
    <n v="151.5"/>
    <n v="123491"/>
    <s v="Crédito"/>
    <s v="E-commerce"/>
    <n v="6"/>
    <n v="0"/>
    <n v="0"/>
    <n v="0"/>
    <n v="207"/>
    <n v="207"/>
  </r>
  <r>
    <d v="2021-01-18T00:00:00"/>
    <n v="1003"/>
    <x v="1"/>
    <n v="3"/>
    <n v="181"/>
    <n v="543"/>
    <n v="85.9"/>
    <n v="257.70000000000005"/>
    <n v="285.29999999999995"/>
    <n v="123491"/>
    <s v="Crédito"/>
    <s v="E-commerce"/>
    <n v="6"/>
    <n v="0"/>
    <n v="0"/>
    <n v="26.7699"/>
    <n v="516.23009999999999"/>
    <n v="516.23009999999999"/>
  </r>
  <r>
    <d v="2021-01-18T00:00:00"/>
    <n v="1004"/>
    <x v="4"/>
    <n v="2"/>
    <n v="200"/>
    <n v="400"/>
    <n v="99.5"/>
    <n v="199"/>
    <n v="201"/>
    <n v="123491"/>
    <s v="Crédito"/>
    <s v="E-commerce"/>
    <n v="6"/>
    <n v="0"/>
    <n v="0"/>
    <n v="19.72"/>
    <n v="380.28"/>
    <n v="380.28"/>
  </r>
  <r>
    <d v="2021-01-18T00:00:00"/>
    <n v="1005"/>
    <x v="6"/>
    <n v="2"/>
    <n v="191"/>
    <n v="382"/>
    <n v="91.5"/>
    <n v="183"/>
    <n v="199"/>
    <n v="123491"/>
    <s v="Crédito"/>
    <s v="E-commerce"/>
    <m/>
    <n v="0"/>
    <n v="0"/>
    <n v="18.832599999999999"/>
    <n v="363.16739999999999"/>
    <n v="363.16739999999999"/>
  </r>
  <r>
    <d v="2021-01-10T00:00:00"/>
    <n v="1006"/>
    <x v="7"/>
    <n v="2"/>
    <n v="50"/>
    <n v="100"/>
    <n v="35.5"/>
    <n v="71"/>
    <n v="29"/>
    <n v="123490"/>
    <s v="Débito"/>
    <s v="Loja física"/>
    <m/>
    <n v="1.9900000000000002"/>
    <n v="98.01"/>
    <n v="0"/>
    <n v="0"/>
    <n v="98.01"/>
  </r>
  <r>
    <d v="2021-01-10T00:00:00"/>
    <n v="1005"/>
    <x v="6"/>
    <n v="1"/>
    <n v="181"/>
    <n v="181"/>
    <n v="91.5"/>
    <n v="91.5"/>
    <n v="89.5"/>
    <n v="123490"/>
    <s v="Débito"/>
    <s v="Loja física"/>
    <m/>
    <n v="3.6019000000000001"/>
    <n v="177.3981"/>
    <n v="0"/>
    <n v="0"/>
    <n v="177.3981"/>
  </r>
  <r>
    <d v="2021-01-10T00:00:00"/>
    <n v="1007"/>
    <x v="8"/>
    <n v="3"/>
    <n v="80"/>
    <n v="240"/>
    <n v="29.9"/>
    <n v="89.699999999999989"/>
    <n v="150.30000000000001"/>
    <n v="123490"/>
    <s v="Débito"/>
    <s v="Loja física"/>
    <m/>
    <n v="4.7759999999999998"/>
    <n v="235.22399999999999"/>
    <n v="0"/>
    <n v="0"/>
    <n v="235.22399999999999"/>
  </r>
  <r>
    <d v="2021-01-10T00:00:00"/>
    <e v="#N/A"/>
    <x v="2"/>
    <m/>
    <m/>
    <n v="0"/>
    <e v="#N/A"/>
    <e v="#N/A"/>
    <e v="#N/A"/>
    <n v="123490"/>
    <s v="Débito"/>
    <s v="Loja física"/>
    <m/>
    <n v="0"/>
    <n v="0"/>
    <n v="0"/>
    <n v="0"/>
    <n v="0"/>
  </r>
  <r>
    <d v="2021-01-10T00:00:00"/>
    <e v="#N/A"/>
    <x v="2"/>
    <m/>
    <m/>
    <n v="0"/>
    <e v="#N/A"/>
    <e v="#N/A"/>
    <e v="#N/A"/>
    <n v="123490"/>
    <s v="Débito"/>
    <s v="Loja física"/>
    <m/>
    <n v="0"/>
    <n v="0"/>
    <n v="0"/>
    <n v="0"/>
    <n v="0"/>
  </r>
  <r>
    <d v="2021-01-01T00:00:00"/>
    <n v="1007"/>
    <x v="8"/>
    <n v="1"/>
    <n v="65"/>
    <n v="65"/>
    <n v="29.9"/>
    <n v="29.9"/>
    <n v="35.1"/>
    <n v="123489"/>
    <s v="Dinheiro"/>
    <s v="Loja física"/>
    <m/>
    <n v="0"/>
    <n v="0"/>
    <n v="0"/>
    <n v="0"/>
    <n v="65"/>
  </r>
  <r>
    <d v="2021-01-01T00:00:00"/>
    <n v="1009"/>
    <x v="9"/>
    <n v="1"/>
    <n v="55"/>
    <n v="55"/>
    <n v="38.9"/>
    <n v="38.9"/>
    <n v="16.100000000000001"/>
    <n v="123489"/>
    <s v="Dinheiro"/>
    <s v="Loja física"/>
    <m/>
    <n v="0"/>
    <n v="0"/>
    <n v="0"/>
    <n v="55"/>
    <n v="55"/>
  </r>
  <r>
    <d v="2021-01-01T00:00:00"/>
    <e v="#N/A"/>
    <x v="2"/>
    <m/>
    <m/>
    <n v="0"/>
    <e v="#N/A"/>
    <e v="#N/A"/>
    <e v="#N/A"/>
    <n v="123489"/>
    <s v="Dinheiro"/>
    <s v="Loja física"/>
    <m/>
    <n v="0"/>
    <n v="0"/>
    <n v="0"/>
    <n v="0"/>
    <n v="0"/>
  </r>
  <r>
    <d v="2021-01-01T00:00:00"/>
    <e v="#N/A"/>
    <x v="2"/>
    <m/>
    <m/>
    <n v="0"/>
    <e v="#N/A"/>
    <e v="#N/A"/>
    <e v="#N/A"/>
    <n v="123489"/>
    <s v="Dinheiro"/>
    <s v="Loja física"/>
    <m/>
    <n v="0"/>
    <n v="0"/>
    <n v="0"/>
    <n v="0"/>
    <n v="0"/>
  </r>
  <r>
    <d v="2021-01-01T00:00:00"/>
    <e v="#N/A"/>
    <x v="2"/>
    <m/>
    <m/>
    <n v="0"/>
    <e v="#N/A"/>
    <e v="#N/A"/>
    <e v="#N/A"/>
    <n v="123489"/>
    <s v="Dinheiro"/>
    <s v="Loja física"/>
    <m/>
    <n v="0"/>
    <n v="0"/>
    <n v="0"/>
    <n v="0"/>
    <n v="0"/>
  </r>
  <r>
    <d v="2021-01-01T00:00:00"/>
    <n v="1005"/>
    <x v="6"/>
    <n v="1"/>
    <n v="190"/>
    <n v="190"/>
    <n v="91.5"/>
    <n v="91.5"/>
    <n v="98.5"/>
    <n v="123488"/>
    <s v="Débito"/>
    <s v="Loja física"/>
    <m/>
    <n v="3.7810000000000001"/>
    <n v="186.21899999999999"/>
    <n v="0"/>
    <n v="0"/>
    <n v="186.21899999999999"/>
  </r>
  <r>
    <d v="2021-01-01T00:00:00"/>
    <n v="1007"/>
    <x v="8"/>
    <n v="1"/>
    <n v="50"/>
    <n v="50"/>
    <n v="29.9"/>
    <n v="29.9"/>
    <n v="20.100000000000001"/>
    <n v="123488"/>
    <s v="Débito"/>
    <s v="Loja física"/>
    <m/>
    <n v="0.99500000000000011"/>
    <n v="49.005000000000003"/>
    <n v="0"/>
    <n v="50"/>
    <n v="49.005000000000003"/>
  </r>
  <r>
    <d v="2021-01-01T00:00:00"/>
    <n v="1010"/>
    <x v="10"/>
    <n v="1"/>
    <n v="50"/>
    <n v="50"/>
    <n v="18.899999999999999"/>
    <n v="18.899999999999999"/>
    <n v="31.1"/>
    <n v="123488"/>
    <s v="Débito"/>
    <s v="Loja física"/>
    <m/>
    <n v="0.99500000000000011"/>
    <n v="49.005000000000003"/>
    <n v="0"/>
    <n v="50"/>
    <n v="49.005000000000003"/>
  </r>
  <r>
    <d v="2021-01-01T00:00:00"/>
    <n v="1009"/>
    <x v="9"/>
    <n v="1"/>
    <n v="50"/>
    <n v="50"/>
    <n v="38.9"/>
    <n v="38.9"/>
    <n v="11.100000000000001"/>
    <n v="123488"/>
    <s v="Débito"/>
    <s v="Loja física"/>
    <m/>
    <n v="0.99500000000000011"/>
    <n v="49.005000000000003"/>
    <n v="0"/>
    <n v="50"/>
    <n v="49.005000000000003"/>
  </r>
  <r>
    <d v="2021-01-01T00:00:00"/>
    <n v="1008"/>
    <x v="3"/>
    <n v="1"/>
    <n v="50"/>
    <n v="50"/>
    <n v="32.9"/>
    <n v="32.9"/>
    <n v="17.100000000000001"/>
    <n v="123488"/>
    <s v="Débito"/>
    <s v="Loja física"/>
    <m/>
    <n v="0.99500000000000011"/>
    <n v="49.005000000000003"/>
    <n v="0"/>
    <n v="50"/>
    <n v="49.005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BEC94-5113-4415-87DF-8D4F2FCF10AD}" name="Tabela dinâmica5" cacheId="9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9">
  <location ref="A47:B52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llDrilled="1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total" fld="0" baseField="0" baseItem="0" numFmtId="165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9F4C95-8088-4AA5-BCAE-724C5729957F}" name="Tabela dinâmica6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9">
  <location ref="A68:B73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llDrilled="1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total" fld="0" baseField="0" baseItem="0" numFmtId="165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1296DE-54E1-443C-8CCA-D9EBBBF0EBEA}" name="Tabela dinâmica23" cacheId="1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9">
  <location ref="A204:B215" firstHeaderRow="1" firstDataRow="1" firstDataCol="1"/>
  <pivotFields count="4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Preço médio" fld="2" subtotal="average" baseField="1" baseItem="0" numFmtId="165"/>
  </dataField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 caption="Soma de Valor Unitário"/>
    <pivotHierarchy dragToData="1" caption="Preço médio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847DC8-19AB-4BF4-AB31-D1377D3ED94D}" name="Tabela dinâmica22" cacheId="13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9">
  <location ref="A184:B196" firstHeaderRow="1" firstDataRow="1" firstDataCol="1"/>
  <pivotFields count="4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Média de Liquido a receber" fld="2" subtotal="average" baseField="1" baseItem="0"/>
  </dataFields>
  <chartFormats count="1"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 caption="Média de Valor total"/>
    <pivotHierarchy dragToData="1" caption="Média de Liquido a receber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6492C-9B56-4EE4-B42C-D4F933086FC9}" name="Tabela dinâmica11" cacheId="3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>
  <location ref="A86:A87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oma de Liquido a receber" fld="0" baseField="0" baseItem="0" numFmtId="164"/>
  </dataFields>
  <formats count="1">
    <format dxfId="60">
      <pivotArea outline="0" collapsedLevelsAreSubtotals="1" fieldPosition="0"/>
    </format>
  </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Soma de Liquido a receber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e_venda 2.xlsm!Tabela3">
        <x15:activeTabTopLevelEntity name="[Tabel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E9A407-AA34-4749-AD7E-5F749821278E}" name="Tabela dinâmica21" cacheId="1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6">
  <location ref="A173:B178" firstHeaderRow="1" firstDataRow="1" firstDataCol="1"/>
  <pivotFields count="3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xis="axisRow" allDrilled="1" subtotalTop="0" showAll="0" defaultSubtotal="0" defaultAttributeDrillState="1">
      <items count="4">
        <item x="0"/>
        <item x="1"/>
        <item x="2"/>
        <item x="3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total" fld="1" baseField="0" baseItem="0" numFmtId="165"/>
  </dataFields>
  <chartFormats count="8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5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6C044-90A6-4943-BE73-05E1FF63BD62}" name="Tabela dinâmica4" cacheId="8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6">
  <location ref="A26:B38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llDrilled="1" subtotalTop="0" showAll="0" dataSourceSort="1" defaultSubtotal="0" defaultAttributeDrillState="1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a de Valor total" fld="0" baseField="0" baseItem="0" numFmtId="165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e_venda 2.xlsm!Tabela3">
        <x15:activeTabTopLevelEntity name="[Tabel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CE5718-79AE-4148-B11D-95741AC2BFCC}" name="Tabela dinâmica15" cacheId="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9">
  <location ref="A127:A128" firstHeaderRow="1" firstDataRow="1" firstDataCol="0"/>
  <pivotFields count="3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oma de Juros débito" fld="1" baseField="0" baseItem="0"/>
  </dataField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9951E-A4A5-4765-8AD8-5CF7235DEDE3}" name="Tabela dinâmica20" cacheId="1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3">
  <location ref="A163:B166" firstHeaderRow="1" firstDataRow="1" firstDataCol="1"/>
  <pivotFields count="4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oma de Valor total" fld="1" baseField="2" baseItem="0" numFmtId="165"/>
  </dataFields>
  <chartFormats count="3"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13C3E-0F96-45D7-A571-E073671D3848}" name="Tabela dinâmica2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245:C258" firstHeaderRow="0" firstDataRow="1" firstDataCol="1"/>
  <pivotFields count="3">
    <pivotField axis="axisRow" allDrilled="1" subtotalTop="0" showAll="0" sortType="de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</pivotFields>
  <rowFields count="1">
    <field x="0"/>
  </rowFields>
  <rowItems count="13">
    <i>
      <x v="3"/>
    </i>
    <i>
      <x v="5"/>
    </i>
    <i>
      <x v="7"/>
    </i>
    <i>
      <x v="8"/>
    </i>
    <i>
      <x v="1"/>
    </i>
    <i>
      <x v="9"/>
    </i>
    <i>
      <x v="10"/>
    </i>
    <i>
      <x v="4"/>
    </i>
    <i>
      <x v="11"/>
    </i>
    <i>
      <x v="6"/>
    </i>
    <i>
      <x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1" baseField="0" baseItem="2"/>
    <dataField name="Valor" fld="2" baseField="0" baseItem="2" numFmtId="165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Quantidade"/>
    <pivotHierarchy dragToData="1" caption="Valor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e_venda 2.xlsm!Tabela4">
        <x15:activeTabTopLevelEntity name="[Tabela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823CE-63A8-4E44-8C73-28AE8947003B}" name="Tabela dinâmica1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38:B149" firstHeaderRow="1" firstDataRow="1" firstDataCol="1"/>
  <pivotFields count="18">
    <pivotField showAll="0"/>
    <pivotField showAll="0"/>
    <pivotField axis="axisRow" showAll="0">
      <items count="12">
        <item x="0"/>
        <item x="5"/>
        <item x="4"/>
        <item x="1"/>
        <item x="6"/>
        <item x="10"/>
        <item x="7"/>
        <item x="8"/>
        <item x="9"/>
        <item x="3"/>
        <item h="1" x="2"/>
        <item t="default"/>
      </items>
    </pivotField>
    <pivotField showAll="0"/>
    <pivotField showAll="0"/>
    <pivotField numFmtId="164" showAll="0"/>
    <pivotField showAll="0"/>
    <pivotField showAll="0"/>
    <pivotField dataField="1" showAll="0"/>
    <pivotField showAll="0"/>
    <pivotField showAll="0"/>
    <pivotField showAll="0"/>
    <pivotField showAll="0"/>
    <pivotField numFmtId="165" showAll="0"/>
    <pivotField showAll="0"/>
    <pivotField numFmtId="165" showAll="0"/>
    <pivotField showAll="0"/>
    <pivotField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Dif custo tot x venda" fld="8" baseField="0" baseItem="0" numFmtId="164"/>
  </dataFields>
  <formats count="2">
    <format dxfId="62">
      <pivotArea outline="0" collapsedLevelsAreSubtotals="1" fieldPosition="0"/>
    </format>
    <format dxfId="6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C4290-BED2-4E5D-A6C4-CC930A7686E3}" name="Tabela dinâmica14" cacheId="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9">
  <location ref="A122:A123" firstHeaderRow="1" firstDataRow="1" firstDataCol="0"/>
  <pivotFields count="3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oma de Juros cartão" fld="1" baseField="0" baseItem="0" numFmtId="165"/>
  </dataField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858663-0B3E-4610-8D36-C2D756EEBAE7}" name="Tabela dinâmica16" cacheId="1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9">
  <location ref="A132:A133" firstHeaderRow="1" firstDataRow="1" firstDataCol="0"/>
  <pivotFields count="3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Contagem Distinta de Código da venda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istinta de Código da venda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C96205-86ED-422E-9CE8-7BF0C34A7E00}" name="Tabela dinâmica2" cacheId="6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3">
  <location ref="A1:B9" firstHeaderRow="1" firstDataRow="1" firstDataCol="1"/>
  <pivotFields count="4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</pivotFields>
  <rowFields count="2">
    <field x="2"/>
    <field x="0"/>
  </rowFields>
  <rowItems count="8">
    <i>
      <x/>
    </i>
    <i r="1">
      <x/>
    </i>
    <i r="1">
      <x v="1"/>
    </i>
    <i r="1">
      <x v="2"/>
    </i>
    <i r="1">
      <x v="3"/>
    </i>
    <i>
      <x v="1"/>
    </i>
    <i r="1">
      <x v="4"/>
    </i>
    <i t="grand">
      <x/>
    </i>
  </rowItems>
  <colItems count="1">
    <i/>
  </colItems>
  <dataFields count="1">
    <dataField name="Soma de Valor total" fld="1" baseField="0" baseItem="0" numFmtId="165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e_venda 2.xlsm!Tabela3">
        <x15:activeTabTopLevelEntity name="[Tabel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68289-5098-4EBE-8236-4402B656EA05}" name="Tabela dinâmica3" cacheId="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3">
  <location ref="A18:A1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oma de Valor total" fld="0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e_venda 2.xlsm!Tabela3">
        <x15:activeTabTopLevelEntity name="[Tabel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FD315D-1FC8-4786-95C1-4D876422295F}" name="Tabela dinâmica30" cacheId="1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6">
  <location ref="A265:A277" firstHeaderRow="1" firstDataRow="1" firstDataCol="1"/>
  <pivotFields count="3">
    <pivotField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axis="axisRow" allDrilled="1" subtotalTop="0" showAll="0" dataSourceSort="1" defaultSubtotal="0" defaultAttributeDrillState="1">
      <items count="11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</items>
    </pivotField>
    <pivotField allDrilled="1" subtotalTop="0" showAll="0" dataSourceSort="1" defaultSubtotal="0" defaultAttributeDrillState="1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pivotHierarchies count="55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Juros cart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3]"/>
        <x15:activeTabTopLevelEntity name="[Tabela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E41693-FD4A-415B-9596-FD4F2C99B9D1}" name="Tabela dinâmica2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225:C236" firstHeaderRow="0" firstDataRow="1" firstDataCol="1"/>
  <pivotFields count="18">
    <pivotField numFmtId="166" showAll="0"/>
    <pivotField showAll="0"/>
    <pivotField axis="axisRow" showAll="0">
      <items count="12">
        <item x="0"/>
        <item x="5"/>
        <item x="4"/>
        <item x="1"/>
        <item x="6"/>
        <item x="10"/>
        <item x="7"/>
        <item x="8"/>
        <item x="9"/>
        <item x="3"/>
        <item h="1" x="2"/>
        <item t="default"/>
      </items>
    </pivotField>
    <pivotField showAll="0"/>
    <pivotField dataField="1" showAll="0"/>
    <pivotField numFmtId="164" showAll="0"/>
    <pivotField dataField="1" showAll="0"/>
    <pivotField showAll="0"/>
    <pivotField showAll="0"/>
    <pivotField showAll="0"/>
    <pivotField showAll="0"/>
    <pivotField showAll="0"/>
    <pivotField showAll="0"/>
    <pivotField numFmtId="165" showAll="0"/>
    <pivotField numFmtId="167" showAll="0"/>
    <pivotField numFmtId="165" showAll="0"/>
    <pivotField numFmtId="164" showAll="0"/>
    <pivotField numFmtId="165"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usto" fld="6" subtotal="average" baseField="2" baseItem="2" numFmtId="168"/>
    <dataField name="Preço venda" fld="4" subtotal="average" baseField="2" baseItem="2" numFmtId="168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7C6BBDD-6572-42ED-A521-F8FA3825EC9A}" sourceName="[Tabela3].[Produto]">
  <pivotTables>
    <pivotTable tabId="16" name="Tabela dinâmica6"/>
    <pivotTable tabId="16" name="Tabela dinâmica2"/>
    <pivotTable tabId="16" name="Tabela dinâmica3"/>
    <pivotTable tabId="16" name="Tabela dinâmica4"/>
    <pivotTable tabId="16" name="Tabela dinâmica5"/>
    <pivotTable tabId="16" name="Tabela dinâmica11"/>
    <pivotTable tabId="16" name="Tabela dinâmica14"/>
    <pivotTable tabId="16" name="Tabela dinâmica15"/>
    <pivotTable tabId="16" name="Tabela dinâmica16"/>
    <pivotTable tabId="16" name="Tabela dinâmica20"/>
    <pivotTable tabId="16" name="Tabela dinâmica21"/>
    <pivotTable tabId="16" name="Tabela dinâmica22"/>
    <pivotTable tabId="16" name="Tabela dinâmica23"/>
    <pivotTable tabId="16" name="Tabela dinâmica30"/>
  </pivotTables>
  <data>
    <olap pivotCacheId="1264368173">
      <levels count="2">
        <level uniqueName="[Tabela3].[Produto].[(All)]" sourceCaption="(All)" count="0"/>
        <level uniqueName="[Tabela3].[Produto].[Produto]" sourceCaption="Produto" count="11">
          <ranges>
            <range startItem="0">
              <i n="[Tabela3].[Produto].&amp;[Brinco de ouro]" c="Brinco de ouro"/>
              <i n="[Tabela3].[Produto].&amp;[Brinco de prata]" c="Brinco de prata"/>
              <i n="[Tabela3].[Produto].&amp;[Colar de ouro]" c="Colar de ouro"/>
              <i n="[Tabela3].[Produto].&amp;[Colar de pérolas]" c="Colar de pérolas"/>
              <i n="[Tabela3].[Produto].&amp;[Colar de prata]" c="Colar de prata"/>
              <i n="[Tabela3].[Produto].&amp;[Pingente de ouro]" c="Pingente de ouro"/>
              <i n="[Tabela3].[Produto].&amp;[Pulseira de ouro]" c="Pulseira de ouro"/>
              <i n="[Tabela3].[Produto].&amp;[Pulseira de prata]" c="Pulseira de prata"/>
              <i n="[Tabela3].[Produto].&amp;[Tiara de ouro]" c="Tiara de ouro"/>
              <i n="[Tabela3].[Produto].&amp;[Tiara de prata]" c="Tiara de prata"/>
              <i n="[Tabela3].[Produto].&amp;" c="(vazio)"/>
            </range>
          </ranges>
        </level>
      </levels>
      <selections count="1">
        <selection n="[Tabela3].[Produto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abela3].[Produto].[Produto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01702644-E4A9-45E4-93A8-94410AF65DF9}" sourceName="[Tabela3].[Data (Mês)]">
  <pivotTables>
    <pivotTable tabId="16" name="Tabela dinâmica2"/>
    <pivotTable tabId="16" name="Tabela dinâmica11"/>
    <pivotTable tabId="16" name="Tabela dinâmica14"/>
    <pivotTable tabId="16" name="Tabela dinâmica15"/>
    <pivotTable tabId="16" name="Tabela dinâmica3"/>
    <pivotTable tabId="16" name="Tabela dinâmica4"/>
    <pivotTable tabId="16" name="Tabela dinâmica5"/>
    <pivotTable tabId="16" name="Tabela dinâmica6"/>
    <pivotTable tabId="16" name="Tabela dinâmica16"/>
    <pivotTable tabId="16" name="Tabela dinâmica20"/>
    <pivotTable tabId="16" name="Tabela dinâmica21"/>
    <pivotTable tabId="16" name="Tabela dinâmica22"/>
    <pivotTable tabId="16" name="Tabela dinâmica23"/>
    <pivotTable tabId="16" name="Tabela dinâmica30"/>
  </pivotTables>
  <data>
    <olap pivotCacheId="1264368173">
      <levels count="2">
        <level uniqueName="[Tabela3].[Data (Mês)].[(All)]" sourceCaption="(All)" count="0"/>
        <level uniqueName="[Tabela3].[Data (Mês)].[Data (Mês)]" sourceCaption="Data (Mês)" count="5">
          <ranges>
            <range startItem="0">
              <i n="[Tabela3].[Data (Mês)].&amp;[jan]" c="jan"/>
              <i n="[Tabela3].[Data (Mês)].&amp;[set]" c="set"/>
              <i n="[Tabela3].[Data (Mês)].&amp;[out]" c="out"/>
              <i n="[Tabela3].[Data (Mês)].&amp;[nov]" c="nov"/>
              <i n="[Tabela3].[Data (Mês)].&amp;[dez]" c="dez"/>
            </range>
          </ranges>
        </level>
      </levels>
      <selections count="1">
        <selection n="[Tabela3].[Data (Mê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abela3].[Data (Mês)].[Data (Mês)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nal_vendas" xr10:uid="{97EC0030-BC1C-41C8-BF5F-D62D7D165C5D}" sourceName="[Tabela3].[Canal vendas]">
  <pivotTables>
    <pivotTable tabId="16" name="Tabela dinâmica6"/>
    <pivotTable tabId="16" name="Tabela dinâmica11"/>
    <pivotTable tabId="16" name="Tabela dinâmica14"/>
    <pivotTable tabId="16" name="Tabela dinâmica15"/>
    <pivotTable tabId="16" name="Tabela dinâmica2"/>
    <pivotTable tabId="16" name="Tabela dinâmica3"/>
    <pivotTable tabId="16" name="Tabela dinâmica4"/>
    <pivotTable tabId="16" name="Tabela dinâmica5"/>
    <pivotTable tabId="16" name="Tabela dinâmica16"/>
    <pivotTable tabId="16" name="Tabela dinâmica20"/>
    <pivotTable tabId="16" name="Tabela dinâmica21"/>
    <pivotTable tabId="16" name="Tabela dinâmica22"/>
    <pivotTable tabId="16" name="Tabela dinâmica23"/>
    <pivotTable tabId="16" name="Tabela dinâmica30"/>
  </pivotTables>
  <data>
    <olap pivotCacheId="1264368173">
      <levels count="2">
        <level uniqueName="[Tabela3].[Canal vendas].[(All)]" sourceCaption="(All)" count="0"/>
        <level uniqueName="[Tabela3].[Canal vendas].[Canal vendas]" sourceCaption="Canal vendas" count="2">
          <ranges>
            <range startItem="0">
              <i n="[Tabela3].[Canal vendas].&amp;[E-commerce]" c="E-commerce"/>
              <i n="[Tabela3].[Canal vendas].&amp;[Loja física]" c="Loja física"/>
            </range>
          </ranges>
        </level>
      </levels>
      <selections count="1">
        <selection n="[Tabela3].[Canal venda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abela3].[Canal vendas].[Canal vendas]" count="0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orma_de_pgto" xr10:uid="{B12834B3-E44E-42FC-A90F-45794CA161E9}" sourceName="[Tabela3].[Forma de pgto]">
  <pivotTables>
    <pivotTable tabId="16" name="Tabela dinâmica6"/>
    <pivotTable tabId="16" name="Tabela dinâmica11"/>
    <pivotTable tabId="16" name="Tabela dinâmica14"/>
    <pivotTable tabId="16" name="Tabela dinâmica15"/>
    <pivotTable tabId="16" name="Tabela dinâmica2"/>
    <pivotTable tabId="16" name="Tabela dinâmica3"/>
    <pivotTable tabId="16" name="Tabela dinâmica4"/>
    <pivotTable tabId="16" name="Tabela dinâmica5"/>
    <pivotTable tabId="16" name="Tabela dinâmica16"/>
    <pivotTable tabId="16" name="Tabela dinâmica20"/>
    <pivotTable tabId="16" name="Tabela dinâmica21"/>
    <pivotTable tabId="16" name="Tabela dinâmica22"/>
    <pivotTable tabId="16" name="Tabela dinâmica23"/>
    <pivotTable tabId="16" name="Tabela dinâmica30"/>
  </pivotTables>
  <data>
    <olap pivotCacheId="1264368173">
      <levels count="2">
        <level uniqueName="[Tabela3].[Forma de pgto].[(All)]" sourceCaption="(All)" count="0"/>
        <level uniqueName="[Tabela3].[Forma de pgto].[Forma de pgto]" sourceCaption="Forma de pgto" count="4">
          <ranges>
            <range startItem="0">
              <i n="[Tabela3].[Forma de pgto].&amp;[Crédito]" c="Crédito"/>
              <i n="[Tabela3].[Forma de pgto].&amp;[Débito]" c="Débito"/>
              <i n="[Tabela3].[Forma de pgto].&amp;[Dinheiro]" c="Dinheiro"/>
              <i n="[Tabela3].[Forma de pgto].&amp;[Pix]" c="Pix"/>
            </range>
          </ranges>
        </level>
      </levels>
      <selections count="1">
        <selection n="[Tabela3].[Forma de pgto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abela3].[Forma de pgto].[Forma de pgto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674AAC49-18A2-456D-B26C-5E10D3CADC5B}" cache="SegmentaçãodeDados_Produto" caption="Produto" columnCount="4" level="1" rowHeight="241300"/>
  <slicer name="Data (Mês)" xr10:uid="{5046E365-3438-4A91-8B7E-5FF26A91E2AD}" cache="SegmentaçãodeDados_Data__Mês" caption="Data (Mês)" columnCount="2" level="1" rowHeight="241300"/>
  <slicer name="Canal vendas" xr10:uid="{E3F910C9-A5E7-4CEF-B4F5-512A6BDDCDB2}" cache="SegmentaçãodeDados_Canal_vendas" caption="Canal vendas" level="1" rowHeight="241300"/>
  <slicer name="Forma de pgto" xr10:uid="{765DDB83-818B-409C-8137-6C750432B526}" cache="SegmentaçãodeDados_Forma_de_pgto" caption="Forma de pgto" columnCount="2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8F8BF8-0287-47D3-BC13-AA1405AB5CB8}" name="Tabela1" displayName="Tabela1" ref="A2:F27" totalsRowShown="0" headerRowBorderDxfId="59" tableBorderDxfId="58" totalsRowBorderDxfId="57">
  <autoFilter ref="A2:F27" xr:uid="{FD1B5409-A448-419F-9A99-E1B595D28E26}"/>
  <tableColumns count="6">
    <tableColumn id="1" xr3:uid="{1F73B772-48D2-4EFD-ABB3-554F6065A255}" name="Data" dataDxfId="56"/>
    <tableColumn id="2" xr3:uid="{FA802293-FF29-4B3D-8697-C8E471F934F9}" name="Código" dataDxfId="55"/>
    <tableColumn id="3" xr3:uid="{09DC8E15-B15E-4EB8-819B-37AC2E70CB01}" name="Produto" dataDxfId="54"/>
    <tableColumn id="4" xr3:uid="{8F46B5BB-1E4E-4C6F-9DAE-AF76B5A38FF5}" name="Quantidade" dataDxfId="53"/>
    <tableColumn id="5" xr3:uid="{046873EB-C2CE-49A4-A3A6-C2824BB8C799}" name="Valor unitário" dataDxfId="52" dataCellStyle="Moeda"/>
    <tableColumn id="6" xr3:uid="{D9B4D576-C3DF-4670-8AB3-83E66D18ACD0}" name="Valor Total" dataDxfId="51" dataCellStyle="Moeda">
      <calculatedColumnFormula>Tabela1[[#This Row],[Valor unitário]]*Tabela1[[#This Row],[Quantidade]]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CD25DA-9C5A-4A29-9E9F-CF2C628B4D7F}" name="Tabela2" displayName="Tabela2" ref="A2:F471" totalsRowShown="0" headerRowDxfId="50" headerRowBorderDxfId="49" tableBorderDxfId="48" totalsRowBorderDxfId="47">
  <autoFilter ref="A2:F471" xr:uid="{9CBC4570-8E34-4322-B464-68EBA1494BBC}"/>
  <tableColumns count="6">
    <tableColumn id="1" xr3:uid="{D55FC320-C6EB-4A11-A7E6-03E2184D2504}" name="Data" dataDxfId="46"/>
    <tableColumn id="2" xr3:uid="{0B7CB642-56E0-45C8-A9D7-E3A5223C867A}" name="Código" dataDxfId="45"/>
    <tableColumn id="3" xr3:uid="{B248082D-B0DC-479A-B572-63A5FA556F8E}" name="Produto" dataDxfId="44"/>
    <tableColumn id="4" xr3:uid="{2A0BDE4F-E8A9-4787-BF79-58CCB6622207}" name="Quantidade" dataDxfId="43"/>
    <tableColumn id="5" xr3:uid="{149AAAB2-C58C-4DA0-8453-FB782BA12C93}" name="Valor unitário" dataDxfId="42" dataCellStyle="Moeda"/>
    <tableColumn id="6" xr3:uid="{3829A470-CB6E-40F9-9B71-FFDA7C0EDB8B}" name="Valor total" dataDxfId="41" dataCellStyle="Moeda">
      <calculatedColumnFormula>E3*D3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E63090-5194-4E43-8F0A-C31BB638330B}" name="Tabela5" displayName="Tabela5" ref="A1:D13" totalsRowShown="0" headerRowDxfId="40" headerRowBorderDxfId="39" tableBorderDxfId="38">
  <autoFilter ref="A1:D13" xr:uid="{B9DB723E-A758-4859-BADE-5138E4CCE08B}"/>
  <tableColumns count="4">
    <tableColumn id="1" xr3:uid="{A6165790-DD39-463A-AC1D-B7A7FFD1DE2E}" name="Produto" dataDxfId="37"/>
    <tableColumn id="2" xr3:uid="{E9346CF7-779A-4BE6-BA8C-357207D76E3D}" name="Código" dataDxfId="36"/>
    <tableColumn id="3" xr3:uid="{8A39E580-7B24-42D8-8557-596218ADBDC0}" name="Fornecedor" dataDxfId="35"/>
    <tableColumn id="4" xr3:uid="{E051605C-8EBB-484D-B1CF-AE480BFB5C3F}" name="Custo unitário" dataDxfId="34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C9F7C69-7D9F-4C59-9BB0-93EE530A487E}" name="Tabela4" displayName="Tabela4" ref="A2:G14" totalsRowShown="0" headerRowDxfId="33" headerRowBorderDxfId="32" tableBorderDxfId="31" totalsRowBorderDxfId="30">
  <autoFilter ref="A2:G14" xr:uid="{C7D80DEF-9BED-449B-B0BD-F038D6B52D49}"/>
  <tableColumns count="7">
    <tableColumn id="1" xr3:uid="{F9C58718-44C2-44E3-B060-006002F1F07E}" name="Código" dataDxfId="29"/>
    <tableColumn id="2" xr3:uid="{F6E056CD-F790-4907-9A81-86E2F2E23C35}" name="Produto" dataDxfId="28"/>
    <tableColumn id="3" xr3:uid="{A7EB43EA-FCA0-4D13-9B8F-26D6811D9D1D}" name="Entrada" dataDxfId="27">
      <calculatedColumnFormula>SUMIF(Ent_Estoque!C:C,Estoque!B3,Ent_Estoque!D:D)</calculatedColumnFormula>
    </tableColumn>
    <tableColumn id="4" xr3:uid="{A39B4FB9-0FEE-459F-BC10-D35F797F2F4B}" name="Saida" dataDxfId="26">
      <calculatedColumnFormula>SUMIF(Sai_Estoque!C:C,Tabela4[[#This Row],[Produto]],Sai_Estoque!D:D)</calculatedColumnFormula>
    </tableColumn>
    <tableColumn id="5" xr3:uid="{86D8E353-54F7-4B50-9576-CD90CB28F5D5}" name="Custo unitário" dataDxfId="25">
      <calculatedColumnFormula>VLOOKUP(Tabela4[[#This Row],[Produto]],Cadastro_Produto!A:D,4,0)</calculatedColumnFormula>
    </tableColumn>
    <tableColumn id="7" xr3:uid="{E4DFA46E-C7B3-45D9-A5D1-3FB72CB416BD}" name="Total Estoque" dataDxfId="24">
      <calculatedColumnFormula>Tabela4[[#This Row],[Custo unitário]]*Tabela4[[#This Row],[Saldo total]]</calculatedColumnFormula>
    </tableColumn>
    <tableColumn id="6" xr3:uid="{853ECF50-0845-4980-917C-E815F8D46B0D}" name="Saldo total" dataDxfId="23">
      <calculatedColumnFormula>Tabela4[[#This Row],[Entrada]]-Tabela4[[#This Row],[Saida]]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28F19-89D2-4484-9068-867F30017EA2}" name="Tabela3" displayName="Tabela3" ref="A2:R147" totalsRowShown="0" headerRowDxfId="22" dataDxfId="20" headerRowBorderDxfId="21" tableBorderDxfId="19" totalsRowBorderDxfId="18" headerRowCellStyle="Moeda" dataCellStyle="Moeda">
  <autoFilter ref="A2:R147" xr:uid="{AC6645C0-B92A-4923-B2C0-549D252E4C1A}"/>
  <tableColumns count="18">
    <tableColumn id="1" xr3:uid="{65BB20A3-0FF4-4CED-B356-FA40ECE984AC}" name="Data" dataDxfId="17"/>
    <tableColumn id="2" xr3:uid="{257B7C11-ACBC-4306-AB9F-6C2890C8410A}" name="Código" dataDxfId="16"/>
    <tableColumn id="3" xr3:uid="{6F6C59C5-A894-46F4-B399-FD7BD873F55C}" name="Produto" dataDxfId="15"/>
    <tableColumn id="4" xr3:uid="{69E222BA-7CD9-42A6-8CF8-237C900D123E}" name="Quantidade" dataDxfId="14"/>
    <tableColumn id="5" xr3:uid="{DD31DECA-BE85-4E82-A3D9-C3112CB4E1D7}" name="Valor Unitário" dataDxfId="13" dataCellStyle="Moeda"/>
    <tableColumn id="6" xr3:uid="{A47464FC-241E-4427-B946-500BE661A184}" name="Valor total" dataDxfId="12" dataCellStyle="Moeda">
      <calculatedColumnFormula>Tabela3[[#This Row],[Valor Unitário]]*Tabela3[[#This Row],[Quantidade]]</calculatedColumnFormula>
    </tableColumn>
    <tableColumn id="7" xr3:uid="{78D41969-A423-425E-A71C-CDA021541862}" name="Custo unitário" dataDxfId="11" dataCellStyle="Moeda">
      <calculatedColumnFormula>VLOOKUP(Tabela3[[#This Row],[Código]],Cadastro_Produto!B:D,3,0)</calculatedColumnFormula>
    </tableColumn>
    <tableColumn id="8" xr3:uid="{AC354850-F631-4F02-83C3-43203DE5FE08}" name="Custo total" dataDxfId="10" dataCellStyle="Moeda">
      <calculatedColumnFormula>Tabela3[[#This Row],[Custo unitário]]*Tabela3[[#This Row],[Quantidade]]</calculatedColumnFormula>
    </tableColumn>
    <tableColumn id="11" xr3:uid="{C623F5E3-959B-4E96-A870-F646BCFD0BE5}" name="Dif custo tot x venda" dataDxfId="9" dataCellStyle="Moeda">
      <calculatedColumnFormula>Tabela3[[#This Row],[Valor total]]-Tabela3[[#This Row],[Custo total]]</calculatedColumnFormula>
    </tableColumn>
    <tableColumn id="12" xr3:uid="{8EB25C53-92EB-4E70-AACE-E1FC8A9FC68A}" name="Código da venda" dataDxfId="8" dataCellStyle="Moeda"/>
    <tableColumn id="9" xr3:uid="{D2DB567D-52EE-4B9A-84AF-45CE27DFC951}" name="Forma de pgto" dataDxfId="7" dataCellStyle="Moeda"/>
    <tableColumn id="10" xr3:uid="{5C319826-24EA-430E-B57E-93EE74C05B45}" name="Canal vendas" dataDxfId="6" dataCellStyle="Moeda"/>
    <tableColumn id="14" xr3:uid="{F33C925D-EBB7-4289-AF40-B52F993D2DB7}" name="Parcelas" dataDxfId="5" dataCellStyle="Moeda"/>
    <tableColumn id="16" xr3:uid="{0E581315-9C45-4591-B6EE-834E0F0EEC32}" name="Juros débito" dataDxfId="4" dataCellStyle="Moeda"/>
    <tableColumn id="17" xr3:uid="{77604B1A-8719-4E09-86C8-D8A6DE6A608C}" name="Débito - a receber" dataDxfId="3" dataCellStyle="Moeda"/>
    <tableColumn id="15" xr3:uid="{E82C97CF-6C4E-47C4-B5B7-220E909E142D}" name="Juros cartão" dataDxfId="2" dataCellStyle="Moeda"/>
    <tableColumn id="13" xr3:uid="{E1C87F28-B657-451B-9F50-4FD56F5C1ED9}" name="Cartão - a receber" dataDxfId="1" dataCellStyle="Moeda"/>
    <tableColumn id="18" xr3:uid="{FB1C984E-F606-43EA-A986-9B2406AB09A0}" name="Liquido a receber" dataDxfId="0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34BAF-9A56-476E-9E31-71914CC05E85}">
  <sheetPr codeName="Planilha10"/>
  <dimension ref="A1:H29"/>
  <sheetViews>
    <sheetView showGridLines="0" tabSelected="1" workbookViewId="0">
      <selection activeCell="B4" sqref="B4"/>
    </sheetView>
  </sheetViews>
  <sheetFormatPr defaultRowHeight="15" x14ac:dyDescent="0.25"/>
  <sheetData>
    <row r="1" spans="1:4" x14ac:dyDescent="0.25">
      <c r="A1" s="73"/>
    </row>
    <row r="3" spans="1:4" x14ac:dyDescent="0.25">
      <c r="D3" s="98"/>
    </row>
    <row r="4" spans="1:4" x14ac:dyDescent="0.25">
      <c r="B4" s="98"/>
    </row>
    <row r="29" spans="8:8" x14ac:dyDescent="0.25">
      <c r="H29" s="73"/>
    </row>
  </sheetData>
  <sheetProtection formatCells="0" formatColumns="0" formatRows="0" insertColumns="0" insertRows="0" insertHyperlinks="0" deleteColumns="0" deleteRows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8C1F7-2E9E-4465-A229-4A970E091623}">
  <sheetPr codeName="Planilha1"/>
  <dimension ref="D1:EI29"/>
  <sheetViews>
    <sheetView showGridLines="0" showRowColHeaders="0" zoomScale="90" zoomScaleNormal="90" workbookViewId="0"/>
  </sheetViews>
  <sheetFormatPr defaultRowHeight="15" x14ac:dyDescent="0.25"/>
  <cols>
    <col min="1" max="118" width="1.7109375" customWidth="1"/>
    <col min="138" max="138" width="12.140625" bestFit="1" customWidth="1"/>
    <col min="139" max="139" width="13.28515625" bestFit="1" customWidth="1"/>
  </cols>
  <sheetData>
    <row r="1" spans="4:139" ht="4.5" customHeight="1" x14ac:dyDescent="0.25"/>
    <row r="2" spans="4:139" x14ac:dyDescent="0.25">
      <c r="F2" s="82"/>
      <c r="G2" s="83"/>
      <c r="H2" s="83"/>
      <c r="I2" s="83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83"/>
      <c r="BM2" s="82"/>
      <c r="BN2" s="83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3"/>
      <c r="CO2" s="82"/>
      <c r="CP2" s="82"/>
      <c r="EH2" t="s">
        <v>70</v>
      </c>
      <c r="EI2" s="2">
        <f>GETPIVOTDATA("[Measures].[Soma de Valor total]",'Nova dinâmica'!$A$18)</f>
        <v>23207.599999999999</v>
      </c>
    </row>
    <row r="3" spans="4:139" ht="15.75" x14ac:dyDescent="0.25">
      <c r="E3" s="71"/>
      <c r="F3" s="84"/>
      <c r="G3" s="83"/>
      <c r="H3" s="84"/>
      <c r="I3" s="83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6"/>
      <c r="BL3" s="83"/>
      <c r="BM3" s="84"/>
      <c r="BN3" s="83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87"/>
      <c r="CA3" s="87"/>
      <c r="CB3" s="87"/>
      <c r="CC3" s="87"/>
      <c r="CD3" s="87"/>
      <c r="CE3" s="87"/>
      <c r="CF3" s="87"/>
      <c r="CG3" s="87"/>
      <c r="CH3" s="87"/>
      <c r="CI3" s="87"/>
      <c r="CJ3" s="87"/>
      <c r="CK3" s="87"/>
      <c r="CL3" s="87"/>
      <c r="CM3" s="87"/>
      <c r="CN3" s="83"/>
      <c r="CO3" s="87"/>
      <c r="CP3" s="87"/>
      <c r="EH3" t="s">
        <v>64</v>
      </c>
      <c r="EI3" s="88">
        <f>GETPIVOTDATA("[Measures].[Soma de Liquido a receber]",'Nova dinâmica'!$A$86)</f>
        <v>22612.117359999993</v>
      </c>
    </row>
    <row r="4" spans="4:139" x14ac:dyDescent="0.25">
      <c r="EH4" t="s">
        <v>72</v>
      </c>
      <c r="EI4" s="89">
        <f>GETPIVOTDATA("[Measures].[Soma de Juros cartão]",'Nova dinâmica'!$A$122)</f>
        <v>533.66129999999987</v>
      </c>
    </row>
    <row r="5" spans="4:139" x14ac:dyDescent="0.25">
      <c r="EH5" t="s">
        <v>73</v>
      </c>
      <c r="EI5" s="89">
        <f>GETPIVOTDATA("[Measures].[Soma de Juros débito]",'Nova dinâmica'!$A$127)</f>
        <v>61.821339999999999</v>
      </c>
    </row>
    <row r="6" spans="4:139" x14ac:dyDescent="0.25">
      <c r="EH6" t="s">
        <v>71</v>
      </c>
      <c r="EI6" s="2">
        <f>EI4+EI5</f>
        <v>595.48263999999983</v>
      </c>
    </row>
    <row r="7" spans="4:139" x14ac:dyDescent="0.25">
      <c r="EH7" t="s">
        <v>80</v>
      </c>
      <c r="EI7">
        <f>GETPIVOTDATA("[Measures].[Contagem Distinta de Código da venda]",'Nova dinâmica'!$A$132)</f>
        <v>29</v>
      </c>
    </row>
    <row r="8" spans="4:139" x14ac:dyDescent="0.25">
      <c r="D8" s="100" t="s">
        <v>88</v>
      </c>
      <c r="E8" s="100"/>
      <c r="F8" s="100"/>
      <c r="G8" s="100"/>
      <c r="H8" s="100"/>
      <c r="I8" s="100"/>
      <c r="J8" s="100"/>
      <c r="K8" s="100"/>
      <c r="L8" s="100"/>
      <c r="M8" s="100"/>
      <c r="N8" s="100"/>
      <c r="EH8" t="s">
        <v>81</v>
      </c>
      <c r="EI8" s="2">
        <f>SUM('Nova dinâmica'!B139:B148)</f>
        <v>12240.699999999999</v>
      </c>
    </row>
    <row r="9" spans="4:139" x14ac:dyDescent="0.25">
      <c r="D9" s="101">
        <f>EI2</f>
        <v>23207.599999999999</v>
      </c>
      <c r="E9" s="101"/>
      <c r="F9" s="101"/>
      <c r="G9" s="101"/>
      <c r="H9" s="101"/>
      <c r="I9" s="101"/>
      <c r="J9" s="101"/>
      <c r="K9" s="101"/>
      <c r="L9" s="101"/>
      <c r="M9" s="101"/>
      <c r="EH9" t="s">
        <v>86</v>
      </c>
      <c r="EI9" s="2">
        <f>GETPIVOTDATA("[Measures].[Soma de Total Estoque]",'Nova dinâmica'!$A$245)</f>
        <v>11626.350000000002</v>
      </c>
    </row>
    <row r="12" spans="4:139" x14ac:dyDescent="0.25">
      <c r="D12" s="100" t="s">
        <v>89</v>
      </c>
      <c r="E12" s="100"/>
      <c r="F12" s="100"/>
      <c r="G12" s="100"/>
      <c r="H12" s="100"/>
      <c r="I12" s="100"/>
      <c r="J12" s="100"/>
      <c r="K12" s="100"/>
      <c r="L12" s="100"/>
      <c r="M12" s="100"/>
      <c r="N12" s="100"/>
    </row>
    <row r="13" spans="4:139" x14ac:dyDescent="0.25">
      <c r="D13" s="101">
        <f>EI3</f>
        <v>22612.117359999993</v>
      </c>
      <c r="E13" s="101"/>
      <c r="F13" s="101"/>
      <c r="G13" s="101"/>
      <c r="H13" s="101"/>
      <c r="I13" s="101"/>
      <c r="J13" s="101"/>
      <c r="K13" s="101"/>
      <c r="L13" s="101"/>
      <c r="M13" s="101"/>
    </row>
    <row r="16" spans="4:139" x14ac:dyDescent="0.25">
      <c r="D16" s="100" t="s">
        <v>71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</row>
    <row r="17" spans="4:14" x14ac:dyDescent="0.25">
      <c r="D17" s="102">
        <f>EI6</f>
        <v>595.48263999999983</v>
      </c>
      <c r="E17" s="102"/>
      <c r="F17" s="102"/>
      <c r="G17" s="102"/>
      <c r="H17" s="102"/>
      <c r="I17" s="102"/>
      <c r="J17" s="102"/>
      <c r="K17" s="102"/>
      <c r="L17" s="102"/>
      <c r="M17" s="102"/>
    </row>
    <row r="20" spans="4:14" x14ac:dyDescent="0.25">
      <c r="D20" s="100" t="s">
        <v>90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</row>
    <row r="21" spans="4:14" x14ac:dyDescent="0.25">
      <c r="D21" s="103">
        <f>EI7</f>
        <v>29</v>
      </c>
      <c r="E21" s="103"/>
      <c r="F21" s="103"/>
      <c r="G21" s="103"/>
      <c r="H21" s="103"/>
      <c r="I21" s="103"/>
      <c r="J21" s="103"/>
      <c r="K21" s="103"/>
      <c r="L21" s="103"/>
      <c r="M21" s="103"/>
    </row>
    <row r="24" spans="4:14" x14ac:dyDescent="0.25">
      <c r="D24" s="100" t="s">
        <v>91</v>
      </c>
      <c r="E24" s="100"/>
      <c r="F24" s="100"/>
      <c r="G24" s="100"/>
      <c r="H24" s="100"/>
      <c r="I24" s="100"/>
      <c r="J24" s="100"/>
      <c r="K24" s="100"/>
      <c r="L24" s="100"/>
      <c r="M24" s="100"/>
      <c r="N24" s="100"/>
    </row>
    <row r="25" spans="4:14" x14ac:dyDescent="0.25">
      <c r="D25" s="102">
        <f>EI8</f>
        <v>12240.699999999999</v>
      </c>
      <c r="E25" s="102"/>
      <c r="F25" s="102"/>
      <c r="G25" s="102"/>
      <c r="H25" s="102"/>
      <c r="I25" s="102"/>
      <c r="J25" s="102"/>
      <c r="K25" s="102"/>
      <c r="L25" s="102"/>
      <c r="M25" s="102"/>
    </row>
    <row r="28" spans="4:14" x14ac:dyDescent="0.25">
      <c r="D28" s="100" t="s">
        <v>92</v>
      </c>
      <c r="E28" s="100"/>
      <c r="F28" s="100"/>
      <c r="G28" s="100"/>
      <c r="H28" s="100"/>
      <c r="I28" s="100"/>
      <c r="J28" s="100"/>
      <c r="K28" s="100"/>
      <c r="L28" s="100"/>
      <c r="M28" s="100"/>
      <c r="N28" s="100"/>
    </row>
    <row r="29" spans="4:14" x14ac:dyDescent="0.25">
      <c r="D29" s="102">
        <f>EI9</f>
        <v>11626.350000000002</v>
      </c>
      <c r="E29" s="102"/>
      <c r="F29" s="102"/>
      <c r="G29" s="102"/>
      <c r="H29" s="102"/>
      <c r="I29" s="102"/>
      <c r="J29" s="102"/>
      <c r="K29" s="102"/>
      <c r="L29" s="102"/>
      <c r="M29" s="102"/>
    </row>
  </sheetData>
  <mergeCells count="13">
    <mergeCell ref="D24:N24"/>
    <mergeCell ref="D25:M25"/>
    <mergeCell ref="D28:N28"/>
    <mergeCell ref="D29:M29"/>
    <mergeCell ref="D16:N16"/>
    <mergeCell ref="D17:M17"/>
    <mergeCell ref="D20:N20"/>
    <mergeCell ref="D21:M21"/>
    <mergeCell ref="J2:BK2"/>
    <mergeCell ref="D8:N8"/>
    <mergeCell ref="D9:M9"/>
    <mergeCell ref="D12:N12"/>
    <mergeCell ref="D13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53DEC-10AF-4BDF-84D4-4B1662211980}">
  <sheetPr codeName="Planilha2"/>
  <dimension ref="A1:CS277"/>
  <sheetViews>
    <sheetView showGridLines="0" showRowColHeaders="0" zoomScaleNormal="100" workbookViewId="0">
      <selection activeCell="D8" sqref="D8"/>
    </sheetView>
  </sheetViews>
  <sheetFormatPr defaultRowHeight="15" x14ac:dyDescent="0.25"/>
  <cols>
    <col min="1" max="1" width="18" bestFit="1" customWidth="1"/>
    <col min="2" max="2" width="12.140625" bestFit="1" customWidth="1"/>
    <col min="3" max="3" width="11.85546875" bestFit="1" customWidth="1"/>
    <col min="4" max="4" width="10.140625" bestFit="1" customWidth="1"/>
    <col min="5" max="5" width="10.7109375" bestFit="1" customWidth="1"/>
    <col min="6" max="13" width="9.140625" bestFit="1" customWidth="1"/>
    <col min="14" max="14" width="8.140625" bestFit="1" customWidth="1"/>
    <col min="15" max="20" width="9.140625" bestFit="1" customWidth="1"/>
    <col min="21" max="21" width="8.140625" bestFit="1" customWidth="1"/>
    <col min="22" max="26" width="9.140625" bestFit="1" customWidth="1"/>
    <col min="27" max="27" width="8.140625" bestFit="1" customWidth="1"/>
    <col min="28" max="33" width="9.140625" bestFit="1" customWidth="1"/>
    <col min="34" max="34" width="8.140625" bestFit="1" customWidth="1"/>
    <col min="35" max="37" width="9.140625" bestFit="1" customWidth="1"/>
    <col min="38" max="39" width="8.140625" bestFit="1" customWidth="1"/>
    <col min="44" max="45" width="8.140625" bestFit="1" customWidth="1"/>
    <col min="49" max="52" width="8.140625" bestFit="1" customWidth="1"/>
    <col min="55" max="58" width="8.140625" bestFit="1" customWidth="1"/>
    <col min="60" max="61" width="8.140625" bestFit="1" customWidth="1"/>
    <col min="63" max="66" width="8.140625" bestFit="1" customWidth="1"/>
    <col min="67" max="67" width="9.140625" bestFit="1" customWidth="1"/>
    <col min="68" max="74" width="8.140625" bestFit="1" customWidth="1"/>
    <col min="75" max="75" width="9.140625" bestFit="1" customWidth="1"/>
    <col min="76" max="76" width="8.140625" bestFit="1" customWidth="1"/>
    <col min="77" max="77" width="9.140625" bestFit="1" customWidth="1"/>
    <col min="78" max="91" width="8.140625" bestFit="1" customWidth="1"/>
    <col min="92" max="92" width="9.140625" bestFit="1" customWidth="1"/>
    <col min="93" max="95" width="8.140625" bestFit="1" customWidth="1"/>
    <col min="96" max="96" width="5.5703125" bestFit="1" customWidth="1"/>
    <col min="97" max="97" width="10.7109375" bestFit="1" customWidth="1"/>
  </cols>
  <sheetData>
    <row r="1" spans="1:2" x14ac:dyDescent="0.25">
      <c r="A1" s="4" t="s">
        <v>11</v>
      </c>
      <c r="B1" t="s">
        <v>10</v>
      </c>
    </row>
    <row r="2" spans="1:2" x14ac:dyDescent="0.25">
      <c r="A2" s="5" t="s">
        <v>13</v>
      </c>
      <c r="B2" s="6"/>
    </row>
    <row r="3" spans="1:2" x14ac:dyDescent="0.25">
      <c r="A3" s="80" t="s">
        <v>55</v>
      </c>
      <c r="B3" s="6">
        <v>5955</v>
      </c>
    </row>
    <row r="4" spans="1:2" x14ac:dyDescent="0.25">
      <c r="A4" s="80" t="s">
        <v>56</v>
      </c>
      <c r="B4" s="6">
        <v>2652.6</v>
      </c>
    </row>
    <row r="5" spans="1:2" x14ac:dyDescent="0.25">
      <c r="A5" s="80" t="s">
        <v>57</v>
      </c>
      <c r="B5" s="6">
        <v>4027.5</v>
      </c>
    </row>
    <row r="6" spans="1:2" x14ac:dyDescent="0.25">
      <c r="A6" s="80" t="s">
        <v>58</v>
      </c>
      <c r="B6" s="6">
        <v>3135</v>
      </c>
    </row>
    <row r="7" spans="1:2" x14ac:dyDescent="0.25">
      <c r="A7" s="5" t="s">
        <v>14</v>
      </c>
      <c r="B7" s="6"/>
    </row>
    <row r="8" spans="1:2" x14ac:dyDescent="0.25">
      <c r="A8" s="80" t="s">
        <v>15</v>
      </c>
      <c r="B8" s="6">
        <v>7437.5</v>
      </c>
    </row>
    <row r="9" spans="1:2" x14ac:dyDescent="0.25">
      <c r="A9" s="5" t="s">
        <v>12</v>
      </c>
      <c r="B9" s="6">
        <v>23207.599999999999</v>
      </c>
    </row>
    <row r="18" spans="1:19" x14ac:dyDescent="0.25">
      <c r="A18" t="s">
        <v>10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x14ac:dyDescent="0.25">
      <c r="A19" s="6">
        <v>23207.599999999999</v>
      </c>
    </row>
    <row r="26" spans="1:19" x14ac:dyDescent="0.25">
      <c r="A26" s="4" t="s">
        <v>11</v>
      </c>
      <c r="B26" t="s">
        <v>10</v>
      </c>
    </row>
    <row r="27" spans="1:19" x14ac:dyDescent="0.25">
      <c r="A27" s="5" t="s">
        <v>87</v>
      </c>
      <c r="B27" s="6">
        <v>0</v>
      </c>
    </row>
    <row r="28" spans="1:19" x14ac:dyDescent="0.25">
      <c r="A28" s="5" t="s">
        <v>9</v>
      </c>
      <c r="B28" s="6">
        <v>2445</v>
      </c>
    </row>
    <row r="29" spans="1:19" x14ac:dyDescent="0.25">
      <c r="A29" s="5" t="s">
        <v>31</v>
      </c>
      <c r="B29" s="6">
        <v>1902</v>
      </c>
    </row>
    <row r="30" spans="1:19" x14ac:dyDescent="0.25">
      <c r="A30" s="5" t="s">
        <v>6</v>
      </c>
      <c r="B30" s="6">
        <v>1171</v>
      </c>
    </row>
    <row r="31" spans="1:19" x14ac:dyDescent="0.25">
      <c r="A31" s="5" t="s">
        <v>32</v>
      </c>
      <c r="B31" s="6">
        <v>3309</v>
      </c>
    </row>
    <row r="32" spans="1:19" x14ac:dyDescent="0.25">
      <c r="A32" s="5" t="s">
        <v>34</v>
      </c>
      <c r="B32" s="6">
        <v>3702.1</v>
      </c>
    </row>
    <row r="33" spans="1:12" x14ac:dyDescent="0.25">
      <c r="A33" s="5" t="s">
        <v>41</v>
      </c>
      <c r="B33" s="6">
        <v>2970.5</v>
      </c>
    </row>
    <row r="34" spans="1:12" x14ac:dyDescent="0.25">
      <c r="A34" s="5" t="s">
        <v>35</v>
      </c>
      <c r="B34" s="6">
        <v>1353</v>
      </c>
    </row>
    <row r="35" spans="1:12" x14ac:dyDescent="0.25">
      <c r="A35" s="5" t="s">
        <v>37</v>
      </c>
      <c r="B35" s="6">
        <v>2150</v>
      </c>
    </row>
    <row r="36" spans="1:12" x14ac:dyDescent="0.25">
      <c r="A36" s="5" t="s">
        <v>40</v>
      </c>
      <c r="B36" s="6">
        <v>2215</v>
      </c>
    </row>
    <row r="37" spans="1:12" x14ac:dyDescent="0.25">
      <c r="A37" s="5" t="s">
        <v>38</v>
      </c>
      <c r="B37" s="6">
        <v>1990</v>
      </c>
    </row>
    <row r="38" spans="1:12" x14ac:dyDescent="0.25">
      <c r="A38" s="5" t="s">
        <v>12</v>
      </c>
      <c r="B38" s="6">
        <v>23207.599999999999</v>
      </c>
    </row>
    <row r="47" spans="1:12" x14ac:dyDescent="0.25">
      <c r="A47" s="4" t="s">
        <v>11</v>
      </c>
      <c r="B47" t="s">
        <v>10</v>
      </c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5" t="s">
        <v>30</v>
      </c>
      <c r="B48" s="6">
        <v>7317.5</v>
      </c>
    </row>
    <row r="49" spans="1:2" x14ac:dyDescent="0.25">
      <c r="A49" s="5" t="s">
        <v>39</v>
      </c>
      <c r="B49" s="6">
        <v>4205</v>
      </c>
    </row>
    <row r="50" spans="1:2" x14ac:dyDescent="0.25">
      <c r="A50" s="5" t="s">
        <v>33</v>
      </c>
      <c r="B50" s="6">
        <v>8182.1</v>
      </c>
    </row>
    <row r="51" spans="1:2" x14ac:dyDescent="0.25">
      <c r="A51" s="5" t="s">
        <v>36</v>
      </c>
      <c r="B51" s="6">
        <v>3503</v>
      </c>
    </row>
    <row r="52" spans="1:2" x14ac:dyDescent="0.25">
      <c r="A52" s="5" t="s">
        <v>12</v>
      </c>
      <c r="B52" s="6">
        <v>23207.599999999999</v>
      </c>
    </row>
    <row r="68" spans="1:2" x14ac:dyDescent="0.25">
      <c r="A68" s="4" t="s">
        <v>11</v>
      </c>
      <c r="B68" t="s">
        <v>10</v>
      </c>
    </row>
    <row r="69" spans="1:2" x14ac:dyDescent="0.25">
      <c r="A69" s="5" t="s">
        <v>30</v>
      </c>
      <c r="B69" s="6">
        <v>7317.5</v>
      </c>
    </row>
    <row r="70" spans="1:2" x14ac:dyDescent="0.25">
      <c r="A70" s="5" t="s">
        <v>39</v>
      </c>
      <c r="B70" s="6">
        <v>4205</v>
      </c>
    </row>
    <row r="71" spans="1:2" x14ac:dyDescent="0.25">
      <c r="A71" s="5" t="s">
        <v>33</v>
      </c>
      <c r="B71" s="6">
        <v>8182.1</v>
      </c>
    </row>
    <row r="72" spans="1:2" x14ac:dyDescent="0.25">
      <c r="A72" s="5" t="s">
        <v>36</v>
      </c>
      <c r="B72" s="6">
        <v>3503</v>
      </c>
    </row>
    <row r="73" spans="1:2" x14ac:dyDescent="0.25">
      <c r="A73" s="5" t="s">
        <v>12</v>
      </c>
      <c r="B73" s="6">
        <v>23207.599999999999</v>
      </c>
    </row>
    <row r="86" spans="1:1" x14ac:dyDescent="0.25">
      <c r="A86" t="s">
        <v>74</v>
      </c>
    </row>
    <row r="87" spans="1:1" x14ac:dyDescent="0.25">
      <c r="A87" s="88">
        <v>22612.117359999993</v>
      </c>
    </row>
    <row r="93" spans="1:1" x14ac:dyDescent="0.25">
      <c r="A93" t="s">
        <v>3</v>
      </c>
    </row>
    <row r="94" spans="1:1" x14ac:dyDescent="0.25">
      <c r="A94" t="s">
        <v>62</v>
      </c>
    </row>
    <row r="95" spans="1:1" x14ac:dyDescent="0.25">
      <c r="A95" t="s">
        <v>61</v>
      </c>
    </row>
    <row r="96" spans="1:1" x14ac:dyDescent="0.25">
      <c r="A96" t="s">
        <v>7</v>
      </c>
    </row>
    <row r="97" spans="1:1" x14ac:dyDescent="0.25">
      <c r="A97" t="s">
        <v>63</v>
      </c>
    </row>
    <row r="100" spans="1:1" x14ac:dyDescent="0.25">
      <c r="A100" t="s">
        <v>5</v>
      </c>
    </row>
    <row r="101" spans="1:1" x14ac:dyDescent="0.25">
      <c r="A101" t="s">
        <v>8</v>
      </c>
    </row>
    <row r="102" spans="1:1" x14ac:dyDescent="0.25">
      <c r="A102" t="s">
        <v>75</v>
      </c>
    </row>
    <row r="104" spans="1:1" x14ac:dyDescent="0.25">
      <c r="A104" t="s">
        <v>59</v>
      </c>
    </row>
    <row r="105" spans="1:1" x14ac:dyDescent="0.25">
      <c r="A105">
        <v>1</v>
      </c>
    </row>
    <row r="106" spans="1:1" x14ac:dyDescent="0.25">
      <c r="A106">
        <v>2</v>
      </c>
    </row>
    <row r="107" spans="1:1" x14ac:dyDescent="0.25">
      <c r="A107">
        <v>3</v>
      </c>
    </row>
    <row r="108" spans="1:1" x14ac:dyDescent="0.25">
      <c r="A108">
        <v>4</v>
      </c>
    </row>
    <row r="109" spans="1:1" x14ac:dyDescent="0.25">
      <c r="A109">
        <v>5</v>
      </c>
    </row>
    <row r="110" spans="1:1" x14ac:dyDescent="0.25">
      <c r="A110">
        <v>6</v>
      </c>
    </row>
    <row r="111" spans="1:1" x14ac:dyDescent="0.25">
      <c r="A111">
        <v>7</v>
      </c>
    </row>
    <row r="112" spans="1:1" x14ac:dyDescent="0.25">
      <c r="A112">
        <v>8</v>
      </c>
    </row>
    <row r="113" spans="1:19" x14ac:dyDescent="0.25">
      <c r="A113">
        <v>9</v>
      </c>
    </row>
    <row r="114" spans="1:19" x14ac:dyDescent="0.25">
      <c r="A114">
        <v>10</v>
      </c>
    </row>
    <row r="115" spans="1:19" x14ac:dyDescent="0.25">
      <c r="A115">
        <v>11</v>
      </c>
    </row>
    <row r="116" spans="1:19" x14ac:dyDescent="0.25">
      <c r="A116">
        <v>12</v>
      </c>
    </row>
    <row r="122" spans="1:19" x14ac:dyDescent="0.25">
      <c r="A122" t="s">
        <v>78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</row>
    <row r="123" spans="1:19" x14ac:dyDescent="0.25">
      <c r="A123" s="6">
        <v>533.66129999999987</v>
      </c>
    </row>
    <row r="127" spans="1:19" x14ac:dyDescent="0.25">
      <c r="A127" t="s">
        <v>79</v>
      </c>
    </row>
    <row r="128" spans="1:19" x14ac:dyDescent="0.25">
      <c r="A128" s="3">
        <v>61.821339999999999</v>
      </c>
    </row>
    <row r="132" spans="1:2" x14ac:dyDescent="0.25">
      <c r="A132" t="s">
        <v>54</v>
      </c>
    </row>
    <row r="133" spans="1:2" x14ac:dyDescent="0.25">
      <c r="A133" s="3">
        <v>29</v>
      </c>
    </row>
    <row r="138" spans="1:2" x14ac:dyDescent="0.25">
      <c r="A138" s="4" t="s">
        <v>11</v>
      </c>
      <c r="B138" s="88" t="s">
        <v>51</v>
      </c>
    </row>
    <row r="139" spans="1:2" x14ac:dyDescent="0.25">
      <c r="A139" s="5" t="s">
        <v>9</v>
      </c>
      <c r="B139" s="88">
        <v>1449</v>
      </c>
    </row>
    <row r="140" spans="1:2" x14ac:dyDescent="0.25">
      <c r="A140" s="5" t="s">
        <v>31</v>
      </c>
      <c r="B140" s="88">
        <v>1254.5</v>
      </c>
    </row>
    <row r="141" spans="1:2" x14ac:dyDescent="0.25">
      <c r="A141" s="5" t="s">
        <v>6</v>
      </c>
      <c r="B141" s="88">
        <v>574</v>
      </c>
    </row>
    <row r="142" spans="1:2" x14ac:dyDescent="0.25">
      <c r="A142" s="5" t="s">
        <v>32</v>
      </c>
      <c r="B142" s="88">
        <v>1762.7999999999997</v>
      </c>
    </row>
    <row r="143" spans="1:2" x14ac:dyDescent="0.25">
      <c r="A143" s="5" t="s">
        <v>34</v>
      </c>
      <c r="B143" s="88">
        <v>1872.1</v>
      </c>
    </row>
    <row r="144" spans="1:2" x14ac:dyDescent="0.25">
      <c r="A144" s="5" t="s">
        <v>41</v>
      </c>
      <c r="B144" s="88">
        <v>2082.1999999999998</v>
      </c>
    </row>
    <row r="145" spans="1:2" x14ac:dyDescent="0.25">
      <c r="A145" s="5" t="s">
        <v>35</v>
      </c>
      <c r="B145" s="88">
        <v>465.5</v>
      </c>
    </row>
    <row r="146" spans="1:2" x14ac:dyDescent="0.25">
      <c r="A146" s="5" t="s">
        <v>37</v>
      </c>
      <c r="B146" s="88">
        <v>1043.7</v>
      </c>
    </row>
    <row r="147" spans="1:2" x14ac:dyDescent="0.25">
      <c r="A147" s="5" t="s">
        <v>40</v>
      </c>
      <c r="B147" s="88">
        <v>931.30000000000007</v>
      </c>
    </row>
    <row r="148" spans="1:2" x14ac:dyDescent="0.25">
      <c r="A148" s="5" t="s">
        <v>38</v>
      </c>
      <c r="B148" s="88">
        <v>805.60000000000014</v>
      </c>
    </row>
    <row r="149" spans="1:2" x14ac:dyDescent="0.25">
      <c r="A149" s="5" t="s">
        <v>12</v>
      </c>
      <c r="B149" s="88">
        <v>12240.699999999999</v>
      </c>
    </row>
    <row r="163" spans="1:97" x14ac:dyDescent="0.25">
      <c r="A163" s="4" t="s">
        <v>11</v>
      </c>
      <c r="B163" t="s">
        <v>10</v>
      </c>
    </row>
    <row r="164" spans="1:97" x14ac:dyDescent="0.25">
      <c r="A164" s="5" t="s">
        <v>8</v>
      </c>
      <c r="B164" s="6">
        <v>12807.5</v>
      </c>
    </row>
    <row r="165" spans="1:97" x14ac:dyDescent="0.25">
      <c r="A165" s="5" t="s">
        <v>75</v>
      </c>
      <c r="B165" s="6">
        <v>10400.1</v>
      </c>
    </row>
    <row r="166" spans="1:97" x14ac:dyDescent="0.25">
      <c r="A166" s="5" t="s">
        <v>12</v>
      </c>
      <c r="B166" s="6">
        <v>23207.599999999999</v>
      </c>
    </row>
    <row r="173" spans="1:97" x14ac:dyDescent="0.25">
      <c r="A173" s="4" t="s">
        <v>11</v>
      </c>
      <c r="B173" t="s">
        <v>10</v>
      </c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</row>
    <row r="174" spans="1:97" x14ac:dyDescent="0.25">
      <c r="A174" s="5" t="s">
        <v>61</v>
      </c>
      <c r="B174" s="6">
        <v>11764.5</v>
      </c>
    </row>
    <row r="175" spans="1:97" x14ac:dyDescent="0.25">
      <c r="A175" s="5" t="s">
        <v>62</v>
      </c>
      <c r="B175" s="6">
        <v>3106.6</v>
      </c>
    </row>
    <row r="176" spans="1:97" x14ac:dyDescent="0.25">
      <c r="A176" s="5" t="s">
        <v>7</v>
      </c>
      <c r="B176" s="6">
        <v>4021.5</v>
      </c>
    </row>
    <row r="177" spans="1:97" x14ac:dyDescent="0.25">
      <c r="A177" s="5" t="s">
        <v>63</v>
      </c>
      <c r="B177" s="6">
        <v>4315</v>
      </c>
    </row>
    <row r="178" spans="1:97" x14ac:dyDescent="0.25">
      <c r="A178" s="5" t="s">
        <v>12</v>
      </c>
      <c r="B178" s="6">
        <v>23207.599999999999</v>
      </c>
    </row>
    <row r="184" spans="1:97" x14ac:dyDescent="0.25">
      <c r="A184" s="4" t="s">
        <v>11</v>
      </c>
      <c r="B184" t="s">
        <v>82</v>
      </c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</row>
    <row r="185" spans="1:97" x14ac:dyDescent="0.25">
      <c r="A185" s="5" t="s">
        <v>87</v>
      </c>
      <c r="B185" s="3">
        <v>0</v>
      </c>
    </row>
    <row r="186" spans="1:97" x14ac:dyDescent="0.25">
      <c r="A186" s="5" t="s">
        <v>9</v>
      </c>
      <c r="B186" s="3">
        <v>196.20212500000002</v>
      </c>
    </row>
    <row r="187" spans="1:97" x14ac:dyDescent="0.25">
      <c r="A187" s="5" t="s">
        <v>31</v>
      </c>
      <c r="B187" s="3">
        <v>169.58686363636363</v>
      </c>
    </row>
    <row r="188" spans="1:97" x14ac:dyDescent="0.25">
      <c r="A188" s="5" t="s">
        <v>6</v>
      </c>
      <c r="B188" s="3">
        <v>228.68</v>
      </c>
    </row>
    <row r="189" spans="1:97" x14ac:dyDescent="0.25">
      <c r="A189" s="5" t="s">
        <v>32</v>
      </c>
      <c r="B189" s="3">
        <v>399.12469375000001</v>
      </c>
    </row>
    <row r="190" spans="1:97" x14ac:dyDescent="0.25">
      <c r="A190" s="5" t="s">
        <v>34</v>
      </c>
      <c r="B190" s="3">
        <v>356.74535600000002</v>
      </c>
    </row>
    <row r="191" spans="1:97" x14ac:dyDescent="0.25">
      <c r="A191" s="5" t="s">
        <v>41</v>
      </c>
      <c r="B191" s="3">
        <v>290.08189500000003</v>
      </c>
    </row>
    <row r="192" spans="1:97" x14ac:dyDescent="0.25">
      <c r="A192" s="5" t="s">
        <v>35</v>
      </c>
      <c r="B192" s="3">
        <v>148.55753333333331</v>
      </c>
    </row>
    <row r="193" spans="1:2" x14ac:dyDescent="0.25">
      <c r="A193" s="5" t="s">
        <v>37</v>
      </c>
      <c r="B193" s="3">
        <v>150.71571428571428</v>
      </c>
    </row>
    <row r="194" spans="1:2" x14ac:dyDescent="0.25">
      <c r="A194" s="5" t="s">
        <v>40</v>
      </c>
      <c r="B194" s="3">
        <v>245.69</v>
      </c>
    </row>
    <row r="195" spans="1:2" x14ac:dyDescent="0.25">
      <c r="A195" s="5" t="s">
        <v>38</v>
      </c>
      <c r="B195" s="3">
        <v>192.93185000000003</v>
      </c>
    </row>
    <row r="196" spans="1:2" x14ac:dyDescent="0.25">
      <c r="A196" s="5" t="s">
        <v>12</v>
      </c>
      <c r="B196" s="3">
        <v>155.9456369655172</v>
      </c>
    </row>
    <row r="204" spans="1:2" x14ac:dyDescent="0.25">
      <c r="A204" s="4" t="s">
        <v>11</v>
      </c>
      <c r="B204" t="s">
        <v>84</v>
      </c>
    </row>
    <row r="205" spans="1:2" x14ac:dyDescent="0.25">
      <c r="A205" s="5" t="s">
        <v>9</v>
      </c>
      <c r="B205" s="6">
        <v>57.916666666666664</v>
      </c>
    </row>
    <row r="206" spans="1:2" x14ac:dyDescent="0.25">
      <c r="A206" s="5" t="s">
        <v>31</v>
      </c>
      <c r="B206" s="6">
        <v>54.272727272727273</v>
      </c>
    </row>
    <row r="207" spans="1:2" x14ac:dyDescent="0.25">
      <c r="A207" s="5" t="s">
        <v>6</v>
      </c>
      <c r="B207" s="6">
        <v>194.2</v>
      </c>
    </row>
    <row r="208" spans="1:2" x14ac:dyDescent="0.25">
      <c r="A208" s="5" t="s">
        <v>32</v>
      </c>
      <c r="B208" s="6">
        <v>187.875</v>
      </c>
    </row>
    <row r="209" spans="1:2" x14ac:dyDescent="0.25">
      <c r="A209" s="5" t="s">
        <v>34</v>
      </c>
      <c r="B209" s="6">
        <v>183.98</v>
      </c>
    </row>
    <row r="210" spans="1:2" x14ac:dyDescent="0.25">
      <c r="A210" s="5" t="s">
        <v>41</v>
      </c>
      <c r="B210" s="6">
        <v>67.989999999999995</v>
      </c>
    </row>
    <row r="211" spans="1:2" x14ac:dyDescent="0.25">
      <c r="A211" s="5" t="s">
        <v>35</v>
      </c>
      <c r="B211" s="6">
        <v>54.511111111111113</v>
      </c>
    </row>
    <row r="212" spans="1:2" x14ac:dyDescent="0.25">
      <c r="A212" s="5" t="s">
        <v>37</v>
      </c>
      <c r="B212" s="6">
        <v>55</v>
      </c>
    </row>
    <row r="213" spans="1:2" x14ac:dyDescent="0.25">
      <c r="A213" s="5" t="s">
        <v>40</v>
      </c>
      <c r="B213" s="6">
        <v>58.777777777777779</v>
      </c>
    </row>
    <row r="214" spans="1:2" x14ac:dyDescent="0.25">
      <c r="A214" s="5" t="s">
        <v>38</v>
      </c>
      <c r="B214" s="6">
        <v>53.5</v>
      </c>
    </row>
    <row r="215" spans="1:2" x14ac:dyDescent="0.25">
      <c r="A215" s="5" t="s">
        <v>12</v>
      </c>
      <c r="B215" s="6">
        <v>87.860204081632645</v>
      </c>
    </row>
    <row r="225" spans="1:3" x14ac:dyDescent="0.25">
      <c r="A225" s="4" t="s">
        <v>11</v>
      </c>
      <c r="B225" t="s">
        <v>53</v>
      </c>
      <c r="C225" t="s">
        <v>85</v>
      </c>
    </row>
    <row r="226" spans="1:3" x14ac:dyDescent="0.25">
      <c r="A226" s="5" t="s">
        <v>9</v>
      </c>
      <c r="B226" s="97">
        <v>24.900000000000002</v>
      </c>
      <c r="C226" s="97">
        <v>57.916666666666664</v>
      </c>
    </row>
    <row r="227" spans="1:3" x14ac:dyDescent="0.25">
      <c r="A227" s="5" t="s">
        <v>31</v>
      </c>
      <c r="B227" s="97">
        <v>18.5</v>
      </c>
      <c r="C227" s="97">
        <v>54.272727272727273</v>
      </c>
    </row>
    <row r="228" spans="1:3" x14ac:dyDescent="0.25">
      <c r="A228" s="5" t="s">
        <v>6</v>
      </c>
      <c r="B228" s="97">
        <v>99.5</v>
      </c>
      <c r="C228" s="97">
        <v>194.2</v>
      </c>
    </row>
    <row r="229" spans="1:3" x14ac:dyDescent="0.25">
      <c r="A229" s="5" t="s">
        <v>32</v>
      </c>
      <c r="B229" s="97">
        <v>85.899999999999991</v>
      </c>
      <c r="C229" s="97">
        <v>187.875</v>
      </c>
    </row>
    <row r="230" spans="1:3" x14ac:dyDescent="0.25">
      <c r="A230" s="5" t="s">
        <v>34</v>
      </c>
      <c r="B230" s="97">
        <v>91.5</v>
      </c>
      <c r="C230" s="97">
        <v>183.98</v>
      </c>
    </row>
    <row r="231" spans="1:3" x14ac:dyDescent="0.25">
      <c r="A231" s="5" t="s">
        <v>41</v>
      </c>
      <c r="B231" s="97">
        <v>18.900000000000002</v>
      </c>
      <c r="C231" s="97">
        <v>67.989999999999995</v>
      </c>
    </row>
    <row r="232" spans="1:3" x14ac:dyDescent="0.25">
      <c r="A232" s="5" t="s">
        <v>35</v>
      </c>
      <c r="B232" s="97">
        <v>35.5</v>
      </c>
      <c r="C232" s="97">
        <v>54.511111111111113</v>
      </c>
    </row>
    <row r="233" spans="1:3" x14ac:dyDescent="0.25">
      <c r="A233" s="5" t="s">
        <v>37</v>
      </c>
      <c r="B233" s="97">
        <v>29.899999999999995</v>
      </c>
      <c r="C233" s="97">
        <v>55</v>
      </c>
    </row>
    <row r="234" spans="1:3" x14ac:dyDescent="0.25">
      <c r="A234" s="5" t="s">
        <v>40</v>
      </c>
      <c r="B234" s="97">
        <v>38.9</v>
      </c>
      <c r="C234" s="97">
        <v>58.777777777777779</v>
      </c>
    </row>
    <row r="235" spans="1:3" x14ac:dyDescent="0.25">
      <c r="A235" s="5" t="s">
        <v>38</v>
      </c>
      <c r="B235" s="97">
        <v>32.899999999999991</v>
      </c>
      <c r="C235" s="97">
        <v>53.5</v>
      </c>
    </row>
    <row r="236" spans="1:3" x14ac:dyDescent="0.25">
      <c r="A236" s="5" t="s">
        <v>12</v>
      </c>
      <c r="B236" s="97">
        <v>42.940816326530644</v>
      </c>
      <c r="C236" s="97">
        <v>87.860204081632645</v>
      </c>
    </row>
    <row r="245" spans="1:3" x14ac:dyDescent="0.25">
      <c r="A245" s="4" t="s">
        <v>11</v>
      </c>
      <c r="B245" t="s">
        <v>1</v>
      </c>
      <c r="C245" t="s">
        <v>52</v>
      </c>
    </row>
    <row r="246" spans="1:3" x14ac:dyDescent="0.25">
      <c r="A246" s="5" t="s">
        <v>6</v>
      </c>
      <c r="B246" s="3">
        <v>40</v>
      </c>
      <c r="C246" s="6">
        <v>3980</v>
      </c>
    </row>
    <row r="247" spans="1:3" x14ac:dyDescent="0.25">
      <c r="A247" s="5" t="s">
        <v>34</v>
      </c>
      <c r="B247" s="3">
        <v>28</v>
      </c>
      <c r="C247" s="6">
        <v>2562</v>
      </c>
    </row>
    <row r="248" spans="1:3" x14ac:dyDescent="0.25">
      <c r="A248" s="5" t="s">
        <v>49</v>
      </c>
      <c r="B248" s="3">
        <v>115</v>
      </c>
      <c r="C248" s="6">
        <v>1730.75</v>
      </c>
    </row>
    <row r="249" spans="1:3" x14ac:dyDescent="0.25">
      <c r="A249" s="5" t="s">
        <v>35</v>
      </c>
      <c r="B249" s="3">
        <v>43</v>
      </c>
      <c r="C249" s="6">
        <v>1526.5</v>
      </c>
    </row>
    <row r="250" spans="1:3" x14ac:dyDescent="0.25">
      <c r="A250" s="5" t="s">
        <v>31</v>
      </c>
      <c r="B250" s="3">
        <v>31</v>
      </c>
      <c r="C250" s="6">
        <v>573.5</v>
      </c>
    </row>
    <row r="251" spans="1:3" x14ac:dyDescent="0.25">
      <c r="A251" s="5" t="s">
        <v>37</v>
      </c>
      <c r="B251" s="3">
        <v>14</v>
      </c>
      <c r="C251" s="6">
        <v>418.59999999999997</v>
      </c>
    </row>
    <row r="252" spans="1:3" x14ac:dyDescent="0.25">
      <c r="A252" s="5" t="s">
        <v>40</v>
      </c>
      <c r="B252" s="3">
        <v>10</v>
      </c>
      <c r="C252" s="6">
        <v>389</v>
      </c>
    </row>
    <row r="253" spans="1:3" x14ac:dyDescent="0.25">
      <c r="A253" s="5" t="s">
        <v>32</v>
      </c>
      <c r="B253" s="3">
        <v>3</v>
      </c>
      <c r="C253" s="6">
        <v>257.70000000000005</v>
      </c>
    </row>
    <row r="254" spans="1:3" x14ac:dyDescent="0.25">
      <c r="A254" s="5" t="s">
        <v>38</v>
      </c>
      <c r="B254" s="3">
        <v>4</v>
      </c>
      <c r="C254" s="6">
        <v>131.6</v>
      </c>
    </row>
    <row r="255" spans="1:3" x14ac:dyDescent="0.25">
      <c r="A255" s="5" t="s">
        <v>41</v>
      </c>
      <c r="B255" s="3">
        <v>3</v>
      </c>
      <c r="C255" s="6">
        <v>56.699999999999996</v>
      </c>
    </row>
    <row r="256" spans="1:3" x14ac:dyDescent="0.25">
      <c r="A256" s="5" t="s">
        <v>9</v>
      </c>
      <c r="B256" s="3">
        <v>0</v>
      </c>
      <c r="C256" s="6">
        <v>0</v>
      </c>
    </row>
    <row r="257" spans="1:3" x14ac:dyDescent="0.25">
      <c r="A257" s="5" t="s">
        <v>93</v>
      </c>
      <c r="B257" s="3">
        <v>0</v>
      </c>
      <c r="C257" s="6">
        <v>0</v>
      </c>
    </row>
    <row r="258" spans="1:3" x14ac:dyDescent="0.25">
      <c r="A258" s="5" t="s">
        <v>12</v>
      </c>
      <c r="B258" s="3">
        <v>291</v>
      </c>
      <c r="C258" s="6">
        <v>11626.350000000002</v>
      </c>
    </row>
    <row r="265" spans="1:3" x14ac:dyDescent="0.25">
      <c r="A265" s="4" t="s">
        <v>11</v>
      </c>
    </row>
    <row r="266" spans="1:3" x14ac:dyDescent="0.25">
      <c r="A266" s="5" t="s">
        <v>9</v>
      </c>
    </row>
    <row r="267" spans="1:3" x14ac:dyDescent="0.25">
      <c r="A267" s="5" t="s">
        <v>31</v>
      </c>
    </row>
    <row r="268" spans="1:3" x14ac:dyDescent="0.25">
      <c r="A268" s="5" t="s">
        <v>6</v>
      </c>
    </row>
    <row r="269" spans="1:3" x14ac:dyDescent="0.25">
      <c r="A269" s="5" t="s">
        <v>32</v>
      </c>
    </row>
    <row r="270" spans="1:3" x14ac:dyDescent="0.25">
      <c r="A270" s="5" t="s">
        <v>34</v>
      </c>
    </row>
    <row r="271" spans="1:3" x14ac:dyDescent="0.25">
      <c r="A271" s="5" t="s">
        <v>41</v>
      </c>
    </row>
    <row r="272" spans="1:3" x14ac:dyDescent="0.25">
      <c r="A272" s="5" t="s">
        <v>49</v>
      </c>
    </row>
    <row r="273" spans="1:1" x14ac:dyDescent="0.25">
      <c r="A273" s="5" t="s">
        <v>35</v>
      </c>
    </row>
    <row r="274" spans="1:1" x14ac:dyDescent="0.25">
      <c r="A274" s="5" t="s">
        <v>37</v>
      </c>
    </row>
    <row r="275" spans="1:1" x14ac:dyDescent="0.25">
      <c r="A275" s="5" t="s">
        <v>40</v>
      </c>
    </row>
    <row r="276" spans="1:1" x14ac:dyDescent="0.25">
      <c r="A276" s="5" t="s">
        <v>38</v>
      </c>
    </row>
    <row r="277" spans="1:1" x14ac:dyDescent="0.25">
      <c r="A277" s="5" t="s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67BA3-5EC6-425A-B599-251D356E3081}">
  <sheetPr codeName="Planilha6"/>
  <dimension ref="A2:H19"/>
  <sheetViews>
    <sheetView showGridLines="0" showRowColHeaders="0" workbookViewId="0"/>
  </sheetViews>
  <sheetFormatPr defaultRowHeight="15" x14ac:dyDescent="0.25"/>
  <cols>
    <col min="3" max="3" width="2.140625" customWidth="1"/>
    <col min="6" max="6" width="37.42578125" style="65" customWidth="1"/>
    <col min="7" max="7" width="3.140625" customWidth="1"/>
  </cols>
  <sheetData>
    <row r="2" spans="1:8" ht="15" customHeight="1" x14ac:dyDescent="0.25">
      <c r="B2" s="105" t="s">
        <v>17</v>
      </c>
      <c r="C2" s="106"/>
      <c r="D2" s="106"/>
      <c r="E2" s="106"/>
      <c r="F2" s="106"/>
      <c r="G2" s="106"/>
      <c r="H2" s="107"/>
    </row>
    <row r="3" spans="1:8" ht="15" customHeight="1" x14ac:dyDescent="0.45">
      <c r="A3" s="7"/>
      <c r="B3" s="108"/>
      <c r="C3" s="109"/>
      <c r="D3" s="109"/>
      <c r="E3" s="109"/>
      <c r="F3" s="109"/>
      <c r="G3" s="109"/>
      <c r="H3" s="110"/>
    </row>
    <row r="4" spans="1:8" x14ac:dyDescent="0.25">
      <c r="B4" s="111"/>
      <c r="C4" s="16"/>
      <c r="D4" s="14"/>
      <c r="E4" s="14"/>
      <c r="F4" s="61"/>
      <c r="G4" s="15"/>
      <c r="H4" s="104"/>
    </row>
    <row r="5" spans="1:8" x14ac:dyDescent="0.25">
      <c r="B5" s="111"/>
      <c r="C5" s="17"/>
      <c r="D5" s="10" t="s">
        <v>0</v>
      </c>
      <c r="E5" s="9"/>
      <c r="F5" s="66">
        <f ca="1">TODAY()</f>
        <v>44275</v>
      </c>
      <c r="G5" s="12"/>
      <c r="H5" s="104"/>
    </row>
    <row r="6" spans="1:8" x14ac:dyDescent="0.25">
      <c r="B6" s="111"/>
      <c r="C6" s="17"/>
      <c r="D6" s="9"/>
      <c r="E6" s="9"/>
      <c r="F6" s="62"/>
      <c r="G6" s="12"/>
      <c r="H6" s="104"/>
    </row>
    <row r="7" spans="1:8" x14ac:dyDescent="0.25">
      <c r="B7" s="111"/>
      <c r="C7" s="17"/>
      <c r="D7" s="10" t="s">
        <v>18</v>
      </c>
      <c r="E7" s="9"/>
      <c r="F7" s="59" t="e">
        <f>VLOOKUP(F9,Cadastro_Produto!A:B,2,0)</f>
        <v>#N/A</v>
      </c>
      <c r="G7" s="12"/>
      <c r="H7" s="104"/>
    </row>
    <row r="8" spans="1:8" x14ac:dyDescent="0.25">
      <c r="B8" s="111"/>
      <c r="C8" s="17"/>
      <c r="D8" s="9"/>
      <c r="E8" s="9"/>
      <c r="F8" s="62"/>
      <c r="G8" s="12"/>
      <c r="H8" s="104"/>
    </row>
    <row r="9" spans="1:8" x14ac:dyDescent="0.25">
      <c r="B9" s="111"/>
      <c r="C9" s="17"/>
      <c r="D9" s="10" t="s">
        <v>19</v>
      </c>
      <c r="E9" s="9"/>
      <c r="F9" s="59"/>
      <c r="G9" s="12"/>
      <c r="H9" s="104"/>
    </row>
    <row r="10" spans="1:8" x14ac:dyDescent="0.25">
      <c r="B10" s="111"/>
      <c r="C10" s="17"/>
      <c r="D10" s="9"/>
      <c r="E10" s="9"/>
      <c r="F10" s="62"/>
      <c r="G10" s="12"/>
      <c r="H10" s="104"/>
    </row>
    <row r="11" spans="1:8" x14ac:dyDescent="0.25">
      <c r="B11" s="111"/>
      <c r="C11" s="17"/>
      <c r="D11" s="10" t="s">
        <v>1</v>
      </c>
      <c r="E11" s="9"/>
      <c r="F11" s="59"/>
      <c r="G11" s="12"/>
      <c r="H11" s="104"/>
    </row>
    <row r="12" spans="1:8" x14ac:dyDescent="0.25">
      <c r="B12" s="111"/>
      <c r="C12" s="17"/>
      <c r="D12" s="9"/>
      <c r="E12" s="9"/>
      <c r="F12" s="62"/>
      <c r="G12" s="12"/>
      <c r="H12" s="104"/>
    </row>
    <row r="13" spans="1:8" x14ac:dyDescent="0.25">
      <c r="B13" s="111"/>
      <c r="C13" s="17"/>
      <c r="D13" s="10" t="s">
        <v>20</v>
      </c>
      <c r="E13" s="9"/>
      <c r="F13" s="60"/>
      <c r="G13" s="12"/>
      <c r="H13" s="104"/>
    </row>
    <row r="14" spans="1:8" x14ac:dyDescent="0.25">
      <c r="B14" s="111"/>
      <c r="C14" s="17"/>
      <c r="D14" s="10"/>
      <c r="E14" s="10"/>
      <c r="F14" s="63"/>
      <c r="G14" s="12"/>
      <c r="H14" s="104"/>
    </row>
    <row r="15" spans="1:8" x14ac:dyDescent="0.25">
      <c r="B15" s="111"/>
      <c r="C15" s="17"/>
      <c r="D15" s="10"/>
      <c r="E15" s="10"/>
      <c r="F15" s="63"/>
      <c r="G15" s="12"/>
      <c r="H15" s="104"/>
    </row>
    <row r="16" spans="1:8" x14ac:dyDescent="0.25">
      <c r="B16" s="111"/>
      <c r="C16" s="17"/>
      <c r="D16" s="10"/>
      <c r="E16" s="10"/>
      <c r="F16" s="63"/>
      <c r="G16" s="12"/>
      <c r="H16" s="104"/>
    </row>
    <row r="17" spans="2:8" x14ac:dyDescent="0.25">
      <c r="B17" s="111"/>
      <c r="C17" s="18"/>
      <c r="D17" s="19"/>
      <c r="E17" s="19"/>
      <c r="F17" s="64"/>
      <c r="G17" s="13"/>
      <c r="H17" s="104"/>
    </row>
    <row r="18" spans="2:8" x14ac:dyDescent="0.25">
      <c r="B18" s="111"/>
      <c r="C18" s="113"/>
      <c r="D18" s="113"/>
      <c r="E18" s="113"/>
      <c r="F18" s="113"/>
      <c r="G18" s="113"/>
      <c r="H18" s="104"/>
    </row>
    <row r="19" spans="2:8" x14ac:dyDescent="0.25">
      <c r="B19" s="112"/>
      <c r="C19" s="114"/>
      <c r="D19" s="114"/>
      <c r="E19" s="114"/>
      <c r="F19" s="114"/>
      <c r="G19" s="114"/>
      <c r="H19" s="115"/>
    </row>
  </sheetData>
  <mergeCells count="4">
    <mergeCell ref="H4:H17"/>
    <mergeCell ref="B2:H3"/>
    <mergeCell ref="B4:B19"/>
    <mergeCell ref="C18:H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2F89B9-999B-4420-843D-D596968FC466}">
          <x14:formula1>
            <xm:f>Cadastro_Produto!$A$2:$A$13</xm:f>
          </x14:formula1>
          <xm:sqref>F9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1F8C4-9E8B-46BF-8115-96D85E802CD3}">
  <sheetPr codeName="Planilha7"/>
  <dimension ref="B2:H19"/>
  <sheetViews>
    <sheetView showGridLines="0" showRowColHeaders="0" workbookViewId="0">
      <selection activeCell="J4" sqref="J4"/>
    </sheetView>
  </sheetViews>
  <sheetFormatPr defaultRowHeight="15" x14ac:dyDescent="0.25"/>
  <cols>
    <col min="3" max="3" width="1.5703125" customWidth="1"/>
    <col min="6" max="6" width="37" style="65" customWidth="1"/>
    <col min="7" max="7" width="4.42578125" customWidth="1"/>
  </cols>
  <sheetData>
    <row r="2" spans="2:8" x14ac:dyDescent="0.25">
      <c r="B2" s="122" t="s">
        <v>21</v>
      </c>
      <c r="C2" s="123"/>
      <c r="D2" s="123"/>
      <c r="E2" s="123"/>
      <c r="F2" s="123"/>
      <c r="G2" s="123"/>
      <c r="H2" s="124"/>
    </row>
    <row r="3" spans="2:8" x14ac:dyDescent="0.25">
      <c r="B3" s="125"/>
      <c r="C3" s="126"/>
      <c r="D3" s="126"/>
      <c r="E3" s="126"/>
      <c r="F3" s="126"/>
      <c r="G3" s="126"/>
      <c r="H3" s="127"/>
    </row>
    <row r="4" spans="2:8" x14ac:dyDescent="0.25">
      <c r="B4" s="120"/>
      <c r="C4" s="16"/>
      <c r="D4" s="14"/>
      <c r="E4" s="14"/>
      <c r="F4" s="61"/>
      <c r="G4" s="15"/>
      <c r="H4" s="116"/>
    </row>
    <row r="5" spans="2:8" x14ac:dyDescent="0.25">
      <c r="B5" s="120"/>
      <c r="C5" s="17"/>
      <c r="D5" s="10" t="s">
        <v>0</v>
      </c>
      <c r="E5" s="9"/>
      <c r="F5" s="66">
        <f ca="1">TODAY()</f>
        <v>44275</v>
      </c>
      <c r="G5" s="12"/>
      <c r="H5" s="116"/>
    </row>
    <row r="6" spans="2:8" x14ac:dyDescent="0.25">
      <c r="B6" s="120"/>
      <c r="C6" s="17"/>
      <c r="D6" s="9"/>
      <c r="E6" s="9"/>
      <c r="F6" s="62"/>
      <c r="G6" s="12"/>
      <c r="H6" s="116"/>
    </row>
    <row r="7" spans="2:8" x14ac:dyDescent="0.25">
      <c r="B7" s="120"/>
      <c r="C7" s="17"/>
      <c r="D7" s="10" t="s">
        <v>18</v>
      </c>
      <c r="E7" s="9"/>
      <c r="F7" s="59" t="e">
        <f>VLOOKUP(F9,Cadastro_Produto!A:B,2,0)</f>
        <v>#N/A</v>
      </c>
      <c r="G7" s="12"/>
      <c r="H7" s="116"/>
    </row>
    <row r="8" spans="2:8" x14ac:dyDescent="0.25">
      <c r="B8" s="120"/>
      <c r="C8" s="17"/>
      <c r="D8" s="9"/>
      <c r="E8" s="9"/>
      <c r="F8" s="62"/>
      <c r="G8" s="12"/>
      <c r="H8" s="116"/>
    </row>
    <row r="9" spans="2:8" x14ac:dyDescent="0.25">
      <c r="B9" s="120"/>
      <c r="C9" s="17"/>
      <c r="D9" s="10" t="s">
        <v>19</v>
      </c>
      <c r="E9" s="9"/>
      <c r="F9" s="59"/>
      <c r="G9" s="12"/>
      <c r="H9" s="116"/>
    </row>
    <row r="10" spans="2:8" x14ac:dyDescent="0.25">
      <c r="B10" s="120"/>
      <c r="C10" s="17"/>
      <c r="D10" s="9"/>
      <c r="E10" s="9"/>
      <c r="F10" s="62"/>
      <c r="G10" s="12"/>
      <c r="H10" s="116"/>
    </row>
    <row r="11" spans="2:8" x14ac:dyDescent="0.25">
      <c r="B11" s="120"/>
      <c r="C11" s="17"/>
      <c r="D11" s="10" t="s">
        <v>1</v>
      </c>
      <c r="E11" s="9"/>
      <c r="F11" s="59"/>
      <c r="G11" s="12"/>
      <c r="H11" s="116"/>
    </row>
    <row r="12" spans="2:8" x14ac:dyDescent="0.25">
      <c r="B12" s="120"/>
      <c r="C12" s="17"/>
      <c r="D12" s="9"/>
      <c r="E12" s="9"/>
      <c r="F12" s="62"/>
      <c r="G12" s="12"/>
      <c r="H12" s="116"/>
    </row>
    <row r="13" spans="2:8" x14ac:dyDescent="0.25">
      <c r="B13" s="120"/>
      <c r="C13" s="17"/>
      <c r="D13" s="10" t="s">
        <v>20</v>
      </c>
      <c r="E13" s="9"/>
      <c r="F13" s="60"/>
      <c r="G13" s="12"/>
      <c r="H13" s="116"/>
    </row>
    <row r="14" spans="2:8" x14ac:dyDescent="0.25">
      <c r="B14" s="120"/>
      <c r="C14" s="17"/>
      <c r="D14" s="10"/>
      <c r="E14" s="10"/>
      <c r="F14" s="63"/>
      <c r="G14" s="12"/>
      <c r="H14" s="116"/>
    </row>
    <row r="15" spans="2:8" x14ac:dyDescent="0.25">
      <c r="B15" s="120"/>
      <c r="C15" s="17"/>
      <c r="D15" s="10"/>
      <c r="E15" s="10"/>
      <c r="F15" s="63"/>
      <c r="G15" s="12"/>
      <c r="H15" s="116"/>
    </row>
    <row r="16" spans="2:8" x14ac:dyDescent="0.25">
      <c r="B16" s="120"/>
      <c r="C16" s="17"/>
      <c r="D16" s="10"/>
      <c r="E16" s="10"/>
      <c r="F16" s="63"/>
      <c r="G16" s="12"/>
      <c r="H16" s="116"/>
    </row>
    <row r="17" spans="2:8" x14ac:dyDescent="0.25">
      <c r="B17" s="120"/>
      <c r="C17" s="18"/>
      <c r="D17" s="19"/>
      <c r="E17" s="19"/>
      <c r="F17" s="64"/>
      <c r="G17" s="13"/>
      <c r="H17" s="116"/>
    </row>
    <row r="18" spans="2:8" x14ac:dyDescent="0.25">
      <c r="B18" s="120"/>
      <c r="C18" s="117"/>
      <c r="D18" s="117"/>
      <c r="E18" s="117"/>
      <c r="F18" s="117"/>
      <c r="G18" s="117"/>
      <c r="H18" s="116"/>
    </row>
    <row r="19" spans="2:8" x14ac:dyDescent="0.25">
      <c r="B19" s="121"/>
      <c r="C19" s="118"/>
      <c r="D19" s="118"/>
      <c r="E19" s="118"/>
      <c r="F19" s="118"/>
      <c r="G19" s="118"/>
      <c r="H19" s="119"/>
    </row>
  </sheetData>
  <mergeCells count="4">
    <mergeCell ref="H4:H17"/>
    <mergeCell ref="C18:H19"/>
    <mergeCell ref="B4:B19"/>
    <mergeCell ref="B2:H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BF7431-E7A9-4DF3-AF9A-532AEC81CBF2}">
          <x14:formula1>
            <xm:f>Cadastro_Produto!$A:$A</xm:f>
          </x14:formula1>
          <xm:sqref>F9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8B46-1338-4357-BB1B-B72D1B827DFE}">
  <sheetPr codeName="Planilha11"/>
  <dimension ref="A1:AA16"/>
  <sheetViews>
    <sheetView showGridLines="0" showRowColHeaders="0" zoomScaleNormal="100" workbookViewId="0"/>
  </sheetViews>
  <sheetFormatPr defaultRowHeight="15" x14ac:dyDescent="0.25"/>
  <cols>
    <col min="1" max="1" width="1.28515625" customWidth="1"/>
    <col min="2" max="2" width="2.85546875" customWidth="1"/>
    <col min="3" max="3" width="2.140625" customWidth="1"/>
    <col min="4" max="4" width="12.7109375" customWidth="1"/>
    <col min="5" max="5" width="14.42578125" bestFit="1" customWidth="1"/>
    <col min="6" max="6" width="2.42578125" customWidth="1"/>
    <col min="7" max="7" width="7.28515625" customWidth="1"/>
    <col min="8" max="8" width="10.140625" customWidth="1"/>
    <col min="9" max="9" width="2.28515625" customWidth="1"/>
    <col min="11" max="11" width="26.5703125" customWidth="1"/>
    <col min="12" max="12" width="3.28515625" customWidth="1"/>
    <col min="13" max="13" width="11.42578125" bestFit="1" customWidth="1"/>
    <col min="15" max="15" width="1.5703125" customWidth="1"/>
    <col min="16" max="16" width="13.28515625" bestFit="1" customWidth="1"/>
    <col min="17" max="17" width="10.42578125" customWidth="1"/>
    <col min="18" max="18" width="1.85546875" customWidth="1"/>
    <col min="19" max="19" width="11.140625" customWidth="1"/>
    <col min="20" max="20" width="14.5703125" customWidth="1"/>
    <col min="21" max="21" width="8.28515625" hidden="1" customWidth="1"/>
    <col min="22" max="22" width="10.28515625" hidden="1" customWidth="1"/>
    <col min="23" max="23" width="9.42578125" hidden="1" customWidth="1"/>
    <col min="24" max="25" width="14.7109375" hidden="1" customWidth="1"/>
    <col min="26" max="26" width="2.42578125" customWidth="1"/>
    <col min="27" max="27" width="3.42578125" customWidth="1"/>
    <col min="28" max="28" width="0.5703125" customWidth="1"/>
  </cols>
  <sheetData>
    <row r="1" spans="1:27" ht="6" customHeight="1" x14ac:dyDescent="0.25"/>
    <row r="2" spans="1:27" ht="15" customHeight="1" x14ac:dyDescent="0.25">
      <c r="B2" s="129" t="s">
        <v>28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1"/>
    </row>
    <row r="3" spans="1:27" ht="15" customHeight="1" x14ac:dyDescent="0.25">
      <c r="A3">
        <v>44219</v>
      </c>
      <c r="B3" s="132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4"/>
    </row>
    <row r="4" spans="1:27" x14ac:dyDescent="0.25">
      <c r="B4" s="141"/>
      <c r="C4" s="16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 t="s">
        <v>65</v>
      </c>
      <c r="V4" s="14" t="s">
        <v>83</v>
      </c>
      <c r="W4" s="14" t="s">
        <v>76</v>
      </c>
      <c r="X4" s="14" t="s">
        <v>77</v>
      </c>
      <c r="Y4" s="14" t="s">
        <v>64</v>
      </c>
      <c r="Z4" s="15"/>
      <c r="AA4" s="135"/>
    </row>
    <row r="5" spans="1:27" x14ac:dyDescent="0.25">
      <c r="B5" s="141"/>
      <c r="C5" s="17"/>
      <c r="D5" s="10" t="s">
        <v>0</v>
      </c>
      <c r="E5" s="22">
        <f ca="1">TODAY()</f>
        <v>44275</v>
      </c>
      <c r="F5" s="9"/>
      <c r="G5" s="10" t="s">
        <v>18</v>
      </c>
      <c r="H5" s="20" t="e">
        <f>VLOOKUP(K5,Cadastro_Produto!A:B,2,0)</f>
        <v>#N/A</v>
      </c>
      <c r="I5" s="9"/>
      <c r="J5" s="10" t="s">
        <v>19</v>
      </c>
      <c r="K5" s="20"/>
      <c r="L5" s="9"/>
      <c r="M5" s="10" t="s">
        <v>1</v>
      </c>
      <c r="N5" s="47"/>
      <c r="O5" s="9">
        <v>190</v>
      </c>
      <c r="P5" s="10" t="s">
        <v>20</v>
      </c>
      <c r="Q5" s="42"/>
      <c r="R5" s="9"/>
      <c r="S5" s="10" t="s">
        <v>2</v>
      </c>
      <c r="T5" s="42">
        <f>Q5*N5</f>
        <v>0</v>
      </c>
      <c r="U5" s="96">
        <f>IF(D11="Débito",T5*1.99%,0)</f>
        <v>0</v>
      </c>
      <c r="V5" s="45">
        <f>IF(D11="Débito",T5-U5,0)</f>
        <v>0</v>
      </c>
      <c r="W5" s="45">
        <f>IF(E11=1,T5*2.97%,IF(E11=2,T5*3.6%,IF(E11=3,T5*3.94%,IF(E11=4,T5*4.27%,IF(E11=5,T5*4.6%,IF(E11=6,T5*4.93%,IF(E11=7,T5*5.84%,IF(E11=8,T5*6.17%,IF(E11=9,T5*6.49%,IF(E11=10,T5*6.82%,IF(E11=11,T5*7.14%,IF(E11=12,T5*7.45%,0))))))))))))</f>
        <v>0</v>
      </c>
      <c r="X5" s="45">
        <f>IF(D11="Crédito",T5-W5,0)</f>
        <v>0</v>
      </c>
      <c r="Y5" t="b">
        <f>IF(D11="Crédito",X5,IF(D11="Débito",V5,IF(D11="Pix",T5,IF(D11="Dinheiro",T5))))</f>
        <v>0</v>
      </c>
      <c r="Z5" s="12"/>
      <c r="AA5" s="135"/>
    </row>
    <row r="6" spans="1:27" x14ac:dyDescent="0.25">
      <c r="B6" s="141"/>
      <c r="C6" s="17"/>
      <c r="D6" s="9"/>
      <c r="E6" s="9"/>
      <c r="F6" s="9"/>
      <c r="G6" s="10" t="s">
        <v>18</v>
      </c>
      <c r="H6" s="20" t="e">
        <f>VLOOKUP(K6,Cadastro_Produto!A:B,2,0)</f>
        <v>#N/A</v>
      </c>
      <c r="I6" s="9"/>
      <c r="J6" s="70" t="s">
        <v>19</v>
      </c>
      <c r="K6" s="20"/>
      <c r="L6" s="9"/>
      <c r="M6" s="10" t="s">
        <v>1</v>
      </c>
      <c r="N6" s="47"/>
      <c r="O6" s="9"/>
      <c r="P6" s="10" t="s">
        <v>20</v>
      </c>
      <c r="Q6" s="42"/>
      <c r="R6" s="9"/>
      <c r="S6" s="10" t="s">
        <v>2</v>
      </c>
      <c r="T6" s="42">
        <f t="shared" ref="T6" si="0">Q6*N6</f>
        <v>0</v>
      </c>
      <c r="U6" s="96">
        <f>IF(D11="Débito",T6*1.99%,0)</f>
        <v>0</v>
      </c>
      <c r="V6" s="45">
        <f>IF(D11="Débito",T6-U6,0)</f>
        <v>0</v>
      </c>
      <c r="W6" s="45">
        <f>IF(E11=1,T6*2.97%,IF(E11=2,T6*3.6%,IF(E11=3,T6*3.94%,IF(E11=4,T6*4.27%,IF(E11=5,T6*4.6%,IF(E12=6,T6*4.93%,IF(E11=7,T6*5.84%,IF(E11=8,T6*6.17%,IF(E11=9,T6*6.49%,IF(E11=10,T6*6.82%,IF(E11=11,T6*7.14%,IF(E11=12,T6*7.45%,0))))))))))))</f>
        <v>0</v>
      </c>
      <c r="X6" s="45">
        <f>IF(D11="Crédito",T6-W6,0)</f>
        <v>0</v>
      </c>
      <c r="Y6" s="81" t="b">
        <f>IF(D11="Crédito",X6,IF(D11="Débito",V6,IF(D11="Pix",T6,IF(D11="Dinheiro",T6))))</f>
        <v>0</v>
      </c>
      <c r="Z6" s="12"/>
      <c r="AA6" s="135"/>
    </row>
    <row r="7" spans="1:27" x14ac:dyDescent="0.25">
      <c r="B7" s="141"/>
      <c r="C7" s="17"/>
      <c r="D7" s="128" t="s">
        <v>44</v>
      </c>
      <c r="E7" s="128"/>
      <c r="F7" s="21"/>
      <c r="G7" s="10" t="s">
        <v>18</v>
      </c>
      <c r="H7" s="20" t="e">
        <f>VLOOKUP(K7,Cadastro_Produto!A:B,2,0)</f>
        <v>#N/A</v>
      </c>
      <c r="I7" s="9"/>
      <c r="J7" s="10" t="s">
        <v>19</v>
      </c>
      <c r="K7" s="20"/>
      <c r="L7" s="9"/>
      <c r="M7" s="10" t="s">
        <v>1</v>
      </c>
      <c r="N7" s="47"/>
      <c r="O7" s="9"/>
      <c r="P7" s="10" t="s">
        <v>20</v>
      </c>
      <c r="Q7" s="42"/>
      <c r="R7" s="9"/>
      <c r="S7" s="10" t="s">
        <v>2</v>
      </c>
      <c r="T7" s="42">
        <f>N7*Q7</f>
        <v>0</v>
      </c>
      <c r="U7" s="96">
        <f>IF(D11="Débito",T7*1.99%,0)</f>
        <v>0</v>
      </c>
      <c r="V7" s="45">
        <f>IF(D11="Débito",T7-U7,0)</f>
        <v>0</v>
      </c>
      <c r="W7" s="45">
        <f>IF(E11=1,T7*2.97%,IF(E11=2,T7*3.6%,IF(E11=3,T7*3.94%,IF(E11=4,T7*4.27%,IF(E11=5,T7*4.6%,IF(E11=6,T7*4.93%,IF(E11=7,T7*5.84%,IF(E11=8,T7*6.17%,IF(E11=9,T7*6.49%,IF(E11=10,T7*6.82%,IF(E11=11,T7*7.14%,IF(E11=12,T7*7.45%,0))))))))))))</f>
        <v>0</v>
      </c>
      <c r="X7" s="45">
        <f>IF(D11="Crédito",T7-W7,0)</f>
        <v>0</v>
      </c>
      <c r="Y7" s="81" t="b">
        <f>IF(D11="Crédito",X7,IF(D11="Débito",V7,IF(D11="Pix",T7,IF(D11="Dinheiro",T7))))</f>
        <v>0</v>
      </c>
      <c r="Z7" s="12"/>
      <c r="AA7" s="135"/>
    </row>
    <row r="8" spans="1:27" x14ac:dyDescent="0.25">
      <c r="B8" s="141"/>
      <c r="C8" s="17"/>
      <c r="D8" s="68">
        <f>Base_Vendas!J:J+1</f>
        <v>123516</v>
      </c>
      <c r="E8" s="10"/>
      <c r="F8" s="9"/>
      <c r="G8" s="10" t="s">
        <v>18</v>
      </c>
      <c r="H8" s="20" t="e">
        <f>VLOOKUP(K8,Cadastro_Produto!A:B,2,0)</f>
        <v>#N/A</v>
      </c>
      <c r="I8" s="9"/>
      <c r="J8" s="10" t="s">
        <v>19</v>
      </c>
      <c r="K8" s="20"/>
      <c r="L8" s="9"/>
      <c r="M8" s="10" t="s">
        <v>1</v>
      </c>
      <c r="N8" s="47"/>
      <c r="O8" s="9"/>
      <c r="P8" s="10" t="s">
        <v>20</v>
      </c>
      <c r="Q8" s="42"/>
      <c r="R8" s="9"/>
      <c r="S8" s="10" t="s">
        <v>2</v>
      </c>
      <c r="T8" s="42">
        <f t="shared" ref="T8:T9" si="1">N8*Q8</f>
        <v>0</v>
      </c>
      <c r="U8" s="96">
        <f>IF(D11="Débito",T8*1.99%,0)</f>
        <v>0</v>
      </c>
      <c r="V8" s="45">
        <f>IF(D11="Débito",T8-U8,0)</f>
        <v>0</v>
      </c>
      <c r="W8" s="45">
        <f>IF(E11=1,T8*2.97%,IF(E11=2,T8*3.6%,IF(E11=3,T8*3.94%,IF(E11=4,T8*4.27%,IF(E11=5,T8*4.6%,IF(E11=6,T8*4.93%,IF(E11=7,T8*5.84%,IF(E11=8,T8*6.17%,IF(E11=9,T8*6.49%,IF(E11=10,T8*6.82%,IF(E11=11,T8*7.14%,IF(E11=12,T8*7.45%,0))))))))))))</f>
        <v>0</v>
      </c>
      <c r="X8" s="45">
        <f>IF(D11="Crédito",T8-W8,0)</f>
        <v>0</v>
      </c>
      <c r="Y8" s="81" t="b">
        <f>IF(D11="Crédito",X8,IF(D11="Débito",V8,IF(D11="Pix",T8,IF(D11="Dinheiro",T8))))</f>
        <v>0</v>
      </c>
      <c r="Z8" s="12"/>
      <c r="AA8" s="135"/>
    </row>
    <row r="9" spans="1:27" x14ac:dyDescent="0.25">
      <c r="B9" s="141"/>
      <c r="C9" s="17"/>
      <c r="D9" s="10"/>
      <c r="E9" s="9"/>
      <c r="F9" s="21"/>
      <c r="G9" s="10" t="s">
        <v>18</v>
      </c>
      <c r="H9" s="20" t="e">
        <f>VLOOKUP(K9,Cadastro_Produto!A:B,2,0)</f>
        <v>#N/A</v>
      </c>
      <c r="I9" s="9"/>
      <c r="J9" s="10" t="s">
        <v>19</v>
      </c>
      <c r="K9" s="20"/>
      <c r="L9" s="9"/>
      <c r="M9" s="10" t="s">
        <v>1</v>
      </c>
      <c r="N9" s="47"/>
      <c r="O9" s="9"/>
      <c r="P9" s="10" t="s">
        <v>20</v>
      </c>
      <c r="Q9" s="42"/>
      <c r="R9" s="9"/>
      <c r="S9" s="10" t="s">
        <v>2</v>
      </c>
      <c r="T9" s="42">
        <f t="shared" si="1"/>
        <v>0</v>
      </c>
      <c r="U9" s="96">
        <f>IF(D11="Débito",T9*1.99%,0)</f>
        <v>0</v>
      </c>
      <c r="V9" s="45">
        <f>IF(D11="Débito",T9-U9,0)</f>
        <v>0</v>
      </c>
      <c r="W9" s="45">
        <f>IF(E11=1,T9*2.97%,IF(E11=2,T9*3.6%,IF(E11=3,T9*3.94%,IF(E11=4,T9*4.27%,IF(E11=5,T9*4.6%,IF(E11=6,T9*4.93%,IF(E11=7,T9*5.84%,IF(E11=8,T9*6.17%,IF(E11=9,T9*6.49%,IF(E11=10,T9*6.82%,IF(E11=11,T9*7.14%,IF(E11=12,T9*7.45%,0))))))))))))</f>
        <v>0</v>
      </c>
      <c r="X9" s="45">
        <f>IF(D11="Crédito",T9-W9,0)</f>
        <v>0</v>
      </c>
      <c r="Y9" s="81" t="b">
        <f>IF(D11="Crédito",X9,IF(D11="Débito",V9,IF(D11="Pix",T9,IF(D11="Dinheiro",T9))))</f>
        <v>0</v>
      </c>
      <c r="Z9" s="12"/>
      <c r="AA9" s="135"/>
    </row>
    <row r="10" spans="1:27" x14ac:dyDescent="0.25">
      <c r="B10" s="141"/>
      <c r="C10" s="17"/>
      <c r="D10" s="10" t="s">
        <v>60</v>
      </c>
      <c r="E10" s="10" t="s">
        <v>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10" t="s">
        <v>2</v>
      </c>
      <c r="T10" s="42">
        <f>SUM(T5:T9)</f>
        <v>0</v>
      </c>
      <c r="U10" s="96"/>
      <c r="V10" s="96"/>
      <c r="W10" s="96"/>
      <c r="X10" s="96"/>
      <c r="Y10" s="96"/>
      <c r="Z10" s="12"/>
      <c r="AA10" s="135"/>
    </row>
    <row r="11" spans="1:27" x14ac:dyDescent="0.25">
      <c r="B11" s="141"/>
      <c r="C11" s="17"/>
      <c r="D11" s="68"/>
      <c r="E11" s="76"/>
      <c r="F11" s="21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12"/>
      <c r="AA11" s="135"/>
    </row>
    <row r="12" spans="1:27" x14ac:dyDescent="0.25">
      <c r="B12" s="141"/>
      <c r="C12" s="17"/>
      <c r="D12" s="10" t="s">
        <v>46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12"/>
      <c r="AA12" s="135"/>
    </row>
    <row r="13" spans="1:27" x14ac:dyDescent="0.25">
      <c r="B13" s="141"/>
      <c r="C13" s="17"/>
      <c r="D13" s="68"/>
      <c r="E13" s="10"/>
      <c r="F13" s="45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12"/>
      <c r="AA13" s="135"/>
    </row>
    <row r="14" spans="1:27" x14ac:dyDescent="0.25">
      <c r="B14" s="141"/>
      <c r="C14" s="18"/>
      <c r="D14" s="19"/>
      <c r="E14" s="19"/>
      <c r="F14" s="46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3"/>
      <c r="AA14" s="135"/>
    </row>
    <row r="15" spans="1:27" x14ac:dyDescent="0.25">
      <c r="B15" s="136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5"/>
    </row>
    <row r="16" spans="1:27" x14ac:dyDescent="0.25">
      <c r="B16" s="138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40"/>
    </row>
  </sheetData>
  <mergeCells count="5">
    <mergeCell ref="D7:E7"/>
    <mergeCell ref="B2:AA3"/>
    <mergeCell ref="AA4:AA14"/>
    <mergeCell ref="B15:AA16"/>
    <mergeCell ref="B4:B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47865C-BB95-4595-A0AB-87CF7873B484}">
          <x14:formula1>
            <xm:f>'Nova dinâmica'!$A$94:$A$97</xm:f>
          </x14:formula1>
          <xm:sqref>D11</xm:sqref>
        </x14:dataValidation>
        <x14:dataValidation type="list" allowBlank="1" showInputMessage="1" showErrorMessage="1" xr:uid="{011DCF3E-7512-4AA6-B12D-231483726060}">
          <x14:formula1>
            <xm:f>'Nova dinâmica'!$A$105:$A$116</xm:f>
          </x14:formula1>
          <xm:sqref>E11</xm:sqref>
        </x14:dataValidation>
        <x14:dataValidation type="list" allowBlank="1" showInputMessage="1" showErrorMessage="1" xr:uid="{5406D11E-D4C2-4801-8795-3B1C2190D86A}">
          <x14:formula1>
            <xm:f>'Nova dinâmica'!$A$101:$A$102</xm:f>
          </x14:formula1>
          <xm:sqref>D13</xm:sqref>
        </x14:dataValidation>
        <x14:dataValidation type="list" allowBlank="1" showInputMessage="1" showErrorMessage="1" xr:uid="{3BB54018-AC62-48CA-8577-4587DCCEBD96}">
          <x14:formula1>
            <xm:f>Cadastro_Produto!$A$4:$A$13</xm:f>
          </x14:formula1>
          <xm:sqref>K5:K9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19A64-356A-4913-B284-6EE7C7533595}">
  <sheetPr codeName="Planilha5"/>
  <dimension ref="B2:H18"/>
  <sheetViews>
    <sheetView showGridLines="0" showRowColHeaders="0" workbookViewId="0"/>
  </sheetViews>
  <sheetFormatPr defaultRowHeight="15" x14ac:dyDescent="0.25"/>
  <cols>
    <col min="3" max="3" width="2.42578125" customWidth="1"/>
    <col min="4" max="4" width="13.28515625" bestFit="1" customWidth="1"/>
    <col min="5" max="5" width="2" customWidth="1"/>
    <col min="6" max="6" width="36.5703125" style="65" customWidth="1"/>
    <col min="7" max="7" width="2.7109375" customWidth="1"/>
  </cols>
  <sheetData>
    <row r="2" spans="2:8" x14ac:dyDescent="0.25">
      <c r="B2" s="142" t="s">
        <v>45</v>
      </c>
      <c r="C2" s="143"/>
      <c r="D2" s="143"/>
      <c r="E2" s="143"/>
      <c r="F2" s="143"/>
      <c r="G2" s="143"/>
      <c r="H2" s="144"/>
    </row>
    <row r="3" spans="2:8" x14ac:dyDescent="0.25">
      <c r="B3" s="145"/>
      <c r="C3" s="146"/>
      <c r="D3" s="146"/>
      <c r="E3" s="146"/>
      <c r="F3" s="146"/>
      <c r="G3" s="146"/>
      <c r="H3" s="147"/>
    </row>
    <row r="4" spans="2:8" x14ac:dyDescent="0.25">
      <c r="B4" s="148"/>
      <c r="C4" s="16"/>
      <c r="D4" s="14"/>
      <c r="E4" s="14"/>
      <c r="F4" s="61"/>
      <c r="G4" s="15"/>
      <c r="H4" s="150"/>
    </row>
    <row r="5" spans="2:8" x14ac:dyDescent="0.25">
      <c r="B5" s="148"/>
      <c r="C5" s="17"/>
      <c r="D5" s="9"/>
      <c r="E5" s="9"/>
      <c r="F5" s="62"/>
      <c r="G5" s="12"/>
      <c r="H5" s="150"/>
    </row>
    <row r="6" spans="2:8" x14ac:dyDescent="0.25">
      <c r="B6" s="148"/>
      <c r="C6" s="17"/>
      <c r="D6" s="10" t="s">
        <v>18</v>
      </c>
      <c r="E6" s="9"/>
      <c r="F6" s="59"/>
      <c r="G6" s="12"/>
      <c r="H6" s="150"/>
    </row>
    <row r="7" spans="2:8" x14ac:dyDescent="0.25">
      <c r="B7" s="148"/>
      <c r="C7" s="17"/>
      <c r="D7" s="9"/>
      <c r="E7" s="9"/>
      <c r="F7" s="62"/>
      <c r="G7" s="12"/>
      <c r="H7" s="150"/>
    </row>
    <row r="8" spans="2:8" x14ac:dyDescent="0.25">
      <c r="B8" s="148"/>
      <c r="C8" s="17"/>
      <c r="D8" s="10" t="s">
        <v>19</v>
      </c>
      <c r="E8" s="9"/>
      <c r="F8" s="59"/>
      <c r="G8" s="12"/>
      <c r="H8" s="150"/>
    </row>
    <row r="9" spans="2:8" x14ac:dyDescent="0.25">
      <c r="B9" s="148"/>
      <c r="C9" s="17"/>
      <c r="D9" s="9"/>
      <c r="E9" s="9"/>
      <c r="F9" s="62"/>
      <c r="G9" s="12"/>
      <c r="H9" s="150"/>
    </row>
    <row r="10" spans="2:8" x14ac:dyDescent="0.25">
      <c r="B10" s="148"/>
      <c r="C10" s="17"/>
      <c r="D10" s="10" t="s">
        <v>4</v>
      </c>
      <c r="E10" s="9"/>
      <c r="F10" s="59"/>
      <c r="G10" s="12"/>
      <c r="H10" s="150"/>
    </row>
    <row r="11" spans="2:8" x14ac:dyDescent="0.25">
      <c r="B11" s="148"/>
      <c r="C11" s="17"/>
      <c r="D11" s="9"/>
      <c r="E11" s="9"/>
      <c r="F11" s="62"/>
      <c r="G11" s="12"/>
      <c r="H11" s="150"/>
    </row>
    <row r="12" spans="2:8" x14ac:dyDescent="0.25">
      <c r="B12" s="148"/>
      <c r="C12" s="17"/>
      <c r="D12" s="10" t="s">
        <v>20</v>
      </c>
      <c r="E12" s="9"/>
      <c r="F12" s="60"/>
      <c r="G12" s="12"/>
      <c r="H12" s="150"/>
    </row>
    <row r="13" spans="2:8" x14ac:dyDescent="0.25">
      <c r="B13" s="148"/>
      <c r="C13" s="17"/>
      <c r="D13" s="10"/>
      <c r="E13" s="10"/>
      <c r="F13" s="63"/>
      <c r="G13" s="12"/>
      <c r="H13" s="150"/>
    </row>
    <row r="14" spans="2:8" x14ac:dyDescent="0.25">
      <c r="B14" s="148"/>
      <c r="C14" s="17"/>
      <c r="D14" s="10"/>
      <c r="E14" s="10"/>
      <c r="F14" s="63"/>
      <c r="G14" s="12"/>
      <c r="H14" s="150"/>
    </row>
    <row r="15" spans="2:8" x14ac:dyDescent="0.25">
      <c r="B15" s="148"/>
      <c r="C15" s="17"/>
      <c r="D15" s="10"/>
      <c r="E15" s="10"/>
      <c r="F15" s="63"/>
      <c r="G15" s="12"/>
      <c r="H15" s="150"/>
    </row>
    <row r="16" spans="2:8" x14ac:dyDescent="0.25">
      <c r="B16" s="148"/>
      <c r="C16" s="18"/>
      <c r="D16" s="19"/>
      <c r="E16" s="19"/>
      <c r="F16" s="64"/>
      <c r="G16" s="13"/>
      <c r="H16" s="150"/>
    </row>
    <row r="17" spans="2:8" x14ac:dyDescent="0.25">
      <c r="B17" s="148"/>
      <c r="C17" s="151"/>
      <c r="D17" s="151"/>
      <c r="E17" s="151"/>
      <c r="F17" s="151"/>
      <c r="G17" s="151"/>
      <c r="H17" s="150"/>
    </row>
    <row r="18" spans="2:8" x14ac:dyDescent="0.25">
      <c r="B18" s="149"/>
      <c r="C18" s="152"/>
      <c r="D18" s="152"/>
      <c r="E18" s="152"/>
      <c r="F18" s="152"/>
      <c r="G18" s="152"/>
      <c r="H18" s="153"/>
    </row>
  </sheetData>
  <mergeCells count="4">
    <mergeCell ref="B2:H3"/>
    <mergeCell ref="B4:B18"/>
    <mergeCell ref="H4:H16"/>
    <mergeCell ref="C17:H1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4AF33-A63D-4F5B-ADF5-FC9BDFF58AA2}">
  <sheetPr codeName="Planilha8"/>
  <dimension ref="A1:F27"/>
  <sheetViews>
    <sheetView showGridLines="0" showRowColHeaders="0" workbookViewId="0"/>
  </sheetViews>
  <sheetFormatPr defaultRowHeight="15" x14ac:dyDescent="0.25"/>
  <cols>
    <col min="1" max="1" width="13" style="1" customWidth="1"/>
    <col min="2" max="2" width="9.28515625" style="3" customWidth="1"/>
    <col min="3" max="3" width="24.28515625" customWidth="1"/>
    <col min="4" max="4" width="13.5703125" customWidth="1"/>
    <col min="5" max="5" width="16.7109375" style="2" customWidth="1"/>
    <col min="6" max="6" width="14.140625" style="2" customWidth="1"/>
    <col min="14" max="15" width="9.140625" customWidth="1"/>
  </cols>
  <sheetData>
    <row r="1" spans="1:6" x14ac:dyDescent="0.25">
      <c r="A1" s="27" t="s">
        <v>17</v>
      </c>
      <c r="B1" s="27"/>
      <c r="C1" s="27"/>
      <c r="D1" s="27"/>
      <c r="E1" s="29"/>
      <c r="F1" s="29"/>
    </row>
    <row r="2" spans="1:6" x14ac:dyDescent="0.25">
      <c r="A2" s="31" t="s">
        <v>0</v>
      </c>
      <c r="B2" s="32" t="s">
        <v>18</v>
      </c>
      <c r="C2" s="33" t="s">
        <v>19</v>
      </c>
      <c r="D2" s="33" t="s">
        <v>1</v>
      </c>
      <c r="E2" s="34" t="s">
        <v>20</v>
      </c>
      <c r="F2" s="35" t="s">
        <v>26</v>
      </c>
    </row>
    <row r="3" spans="1:6" x14ac:dyDescent="0.25">
      <c r="A3" s="75">
        <v>44227</v>
      </c>
      <c r="B3" s="37">
        <v>1001</v>
      </c>
      <c r="C3" s="38" t="s">
        <v>9</v>
      </c>
      <c r="D3" s="38">
        <v>10</v>
      </c>
      <c r="E3" s="39">
        <v>19.5</v>
      </c>
      <c r="F3" s="44">
        <f>Tabela1[[#This Row],[Valor unitário]]*Tabela1[[#This Row],[Quantidade]]</f>
        <v>195</v>
      </c>
    </row>
    <row r="4" spans="1:6" x14ac:dyDescent="0.25">
      <c r="A4" s="75">
        <v>44227</v>
      </c>
      <c r="B4" s="37">
        <v>1011</v>
      </c>
      <c r="C4" s="38" t="s">
        <v>49</v>
      </c>
      <c r="D4" s="38">
        <v>5</v>
      </c>
      <c r="E4" s="39">
        <v>19.5</v>
      </c>
      <c r="F4" s="44">
        <f>Tabela1[[#This Row],[Valor unitário]]*Tabela1[[#This Row],[Quantidade]]</f>
        <v>97.5</v>
      </c>
    </row>
    <row r="5" spans="1:6" x14ac:dyDescent="0.25">
      <c r="A5" s="75">
        <v>44227</v>
      </c>
      <c r="B5" s="37">
        <v>1004</v>
      </c>
      <c r="C5" s="38" t="s">
        <v>6</v>
      </c>
      <c r="D5" s="38">
        <v>1</v>
      </c>
      <c r="E5" s="39">
        <v>99.5</v>
      </c>
      <c r="F5" s="44">
        <f>Tabela1[[#This Row],[Valor unitário]]*Tabela1[[#This Row],[Quantidade]]</f>
        <v>99.5</v>
      </c>
    </row>
    <row r="6" spans="1:6" x14ac:dyDescent="0.25">
      <c r="A6" s="75">
        <v>44224</v>
      </c>
      <c r="B6" s="37">
        <v>1003</v>
      </c>
      <c r="C6" s="38" t="s">
        <v>32</v>
      </c>
      <c r="D6" s="38">
        <v>10</v>
      </c>
      <c r="E6" s="39">
        <v>91.5</v>
      </c>
      <c r="F6" s="44">
        <f>Tabela1[[#This Row],[Valor unitário]]*Tabela1[[#This Row],[Quantidade]]</f>
        <v>915</v>
      </c>
    </row>
    <row r="7" spans="1:6" x14ac:dyDescent="0.25">
      <c r="A7" s="75">
        <v>44224</v>
      </c>
      <c r="B7" s="37">
        <v>1010</v>
      </c>
      <c r="C7" s="38" t="s">
        <v>41</v>
      </c>
      <c r="D7" s="38">
        <v>30</v>
      </c>
      <c r="E7" s="39">
        <v>18.5</v>
      </c>
      <c r="F7" s="44">
        <f>Tabela1[[#This Row],[Valor unitário]]*Tabela1[[#This Row],[Quantidade]]</f>
        <v>555</v>
      </c>
    </row>
    <row r="8" spans="1:6" x14ac:dyDescent="0.25">
      <c r="A8" s="36">
        <v>44221</v>
      </c>
      <c r="B8" s="37">
        <v>1006</v>
      </c>
      <c r="C8" s="38" t="s">
        <v>35</v>
      </c>
      <c r="D8" s="38">
        <v>20</v>
      </c>
      <c r="E8" s="39">
        <v>19.5</v>
      </c>
      <c r="F8" s="44">
        <f>Tabela1[[#This Row],[Valor unitário]]*Tabela1[[#This Row],[Quantidade]]</f>
        <v>390</v>
      </c>
    </row>
    <row r="9" spans="1:6" x14ac:dyDescent="0.25">
      <c r="A9" s="36">
        <v>44220</v>
      </c>
      <c r="B9" s="37">
        <v>1010</v>
      </c>
      <c r="C9" s="38" t="s">
        <v>41</v>
      </c>
      <c r="D9" s="38">
        <v>50</v>
      </c>
      <c r="E9" s="39">
        <v>18.899999999999999</v>
      </c>
      <c r="F9" s="44">
        <f>Tabela1[[#This Row],[Valor unitário]]*Tabela1[[#This Row],[Quantidade]]</f>
        <v>944.99999999999989</v>
      </c>
    </row>
    <row r="10" spans="1:6" x14ac:dyDescent="0.25">
      <c r="A10" s="36">
        <v>44220</v>
      </c>
      <c r="B10" s="37">
        <v>1009</v>
      </c>
      <c r="C10" s="38" t="s">
        <v>40</v>
      </c>
      <c r="D10" s="38">
        <v>80</v>
      </c>
      <c r="E10" s="39">
        <v>38.799999999999997</v>
      </c>
      <c r="F10" s="44">
        <f>Tabela1[[#This Row],[Valor unitário]]*Tabela1[[#This Row],[Quantidade]]</f>
        <v>3104</v>
      </c>
    </row>
    <row r="11" spans="1:6" x14ac:dyDescent="0.25">
      <c r="A11" s="36">
        <v>44220</v>
      </c>
      <c r="B11" s="37">
        <v>1008</v>
      </c>
      <c r="C11" s="38" t="s">
        <v>38</v>
      </c>
      <c r="D11" s="38">
        <v>50</v>
      </c>
      <c r="E11" s="39">
        <v>32.9</v>
      </c>
      <c r="F11" s="44">
        <f>Tabela1[[#This Row],[Valor unitário]]*Tabela1[[#This Row],[Quantidade]]</f>
        <v>1645</v>
      </c>
    </row>
    <row r="12" spans="1:6" x14ac:dyDescent="0.25">
      <c r="A12" s="36">
        <v>44220</v>
      </c>
      <c r="B12" s="37">
        <v>1007</v>
      </c>
      <c r="C12" s="38" t="s">
        <v>37</v>
      </c>
      <c r="D12" s="38">
        <v>95</v>
      </c>
      <c r="E12" s="39">
        <v>29.9</v>
      </c>
      <c r="F12" s="44">
        <f>Tabela1[[#This Row],[Valor unitário]]*Tabela1[[#This Row],[Quantidade]]</f>
        <v>2840.5</v>
      </c>
    </row>
    <row r="13" spans="1:6" x14ac:dyDescent="0.25">
      <c r="A13" s="36">
        <v>44220</v>
      </c>
      <c r="B13" s="37">
        <v>1005</v>
      </c>
      <c r="C13" s="38" t="s">
        <v>34</v>
      </c>
      <c r="D13" s="38">
        <v>55</v>
      </c>
      <c r="E13" s="39">
        <v>91.5</v>
      </c>
      <c r="F13" s="44">
        <f>Tabela1[[#This Row],[Valor unitário]]*Tabela1[[#This Row],[Quantidade]]</f>
        <v>5032.5</v>
      </c>
    </row>
    <row r="14" spans="1:6" x14ac:dyDescent="0.25">
      <c r="A14" s="36">
        <v>44220</v>
      </c>
      <c r="B14" s="37">
        <v>1004</v>
      </c>
      <c r="C14" s="38" t="s">
        <v>6</v>
      </c>
      <c r="D14" s="38">
        <v>65</v>
      </c>
      <c r="E14" s="39">
        <v>99.5</v>
      </c>
      <c r="F14" s="44">
        <f>Tabela1[[#This Row],[Valor unitário]]*Tabela1[[#This Row],[Quantidade]]</f>
        <v>6467.5</v>
      </c>
    </row>
    <row r="15" spans="1:6" x14ac:dyDescent="0.25">
      <c r="A15" s="36">
        <v>44220</v>
      </c>
      <c r="B15" s="37">
        <v>1003</v>
      </c>
      <c r="C15" s="38" t="s">
        <v>32</v>
      </c>
      <c r="D15" s="38">
        <v>50</v>
      </c>
      <c r="E15" s="39">
        <v>85.9</v>
      </c>
      <c r="F15" s="44">
        <f>Tabela1[[#This Row],[Valor unitário]]*Tabela1[[#This Row],[Quantidade]]</f>
        <v>4295</v>
      </c>
    </row>
    <row r="16" spans="1:6" x14ac:dyDescent="0.25">
      <c r="A16" s="36">
        <v>44220</v>
      </c>
      <c r="B16" s="37">
        <v>1002</v>
      </c>
      <c r="C16" s="38" t="s">
        <v>31</v>
      </c>
      <c r="D16" s="38">
        <v>120</v>
      </c>
      <c r="E16" s="39">
        <v>18.5</v>
      </c>
      <c r="F16" s="44">
        <f>Tabela1[[#This Row],[Valor unitário]]*Tabela1[[#This Row],[Quantidade]]</f>
        <v>2220</v>
      </c>
    </row>
    <row r="17" spans="1:6" x14ac:dyDescent="0.25">
      <c r="A17" s="36">
        <v>44220</v>
      </c>
      <c r="B17" s="37">
        <v>1011</v>
      </c>
      <c r="C17" s="38" t="s">
        <v>49</v>
      </c>
      <c r="D17" s="38">
        <v>150</v>
      </c>
      <c r="E17" s="39">
        <v>15.5</v>
      </c>
      <c r="F17" s="44">
        <f>Tabela1[[#This Row],[Valor unitário]]*Tabela1[[#This Row],[Quantidade]]</f>
        <v>2325</v>
      </c>
    </row>
    <row r="18" spans="1:6" x14ac:dyDescent="0.25">
      <c r="A18" s="36">
        <v>44220</v>
      </c>
      <c r="B18" s="37">
        <v>1006</v>
      </c>
      <c r="C18" s="38" t="s">
        <v>35</v>
      </c>
      <c r="D18" s="38">
        <v>100</v>
      </c>
      <c r="E18" s="39">
        <v>29.5</v>
      </c>
      <c r="F18" s="44">
        <f>Tabela1[[#This Row],[Valor unitário]]*Tabela1[[#This Row],[Quantidade]]</f>
        <v>2950</v>
      </c>
    </row>
    <row r="19" spans="1:6" x14ac:dyDescent="0.25">
      <c r="A19" s="36">
        <v>44027</v>
      </c>
      <c r="B19" s="37">
        <v>1008</v>
      </c>
      <c r="C19" s="38" t="s">
        <v>38</v>
      </c>
      <c r="D19" s="38">
        <v>5</v>
      </c>
      <c r="E19" s="39">
        <v>50</v>
      </c>
      <c r="F19" s="44">
        <f>Tabela1[[#This Row],[Valor unitário]]*Tabela1[[#This Row],[Quantidade]]</f>
        <v>250</v>
      </c>
    </row>
    <row r="20" spans="1:6" x14ac:dyDescent="0.25">
      <c r="A20" s="36">
        <v>43973</v>
      </c>
      <c r="B20" s="37">
        <v>1005</v>
      </c>
      <c r="C20" s="38" t="s">
        <v>34</v>
      </c>
      <c r="D20" s="38">
        <v>25</v>
      </c>
      <c r="E20" s="39">
        <v>100</v>
      </c>
      <c r="F20" s="44">
        <f>Tabela1[[#This Row],[Valor unitário]]*Tabela1[[#This Row],[Quantidade]]</f>
        <v>2500</v>
      </c>
    </row>
    <row r="21" spans="1:6" x14ac:dyDescent="0.25">
      <c r="A21" s="36">
        <v>43973</v>
      </c>
      <c r="B21" s="37">
        <v>1010</v>
      </c>
      <c r="C21" s="38" t="s">
        <v>41</v>
      </c>
      <c r="D21" s="38">
        <v>35</v>
      </c>
      <c r="E21" s="39">
        <v>18</v>
      </c>
      <c r="F21" s="44">
        <f>Tabela1[[#This Row],[Valor unitário]]*Tabela1[[#This Row],[Quantidade]]</f>
        <v>630</v>
      </c>
    </row>
    <row r="22" spans="1:6" x14ac:dyDescent="0.25">
      <c r="A22" s="36">
        <v>43973</v>
      </c>
      <c r="B22" s="37">
        <v>1006</v>
      </c>
      <c r="C22" s="38" t="s">
        <v>35</v>
      </c>
      <c r="D22" s="38">
        <v>50</v>
      </c>
      <c r="E22" s="39">
        <v>35</v>
      </c>
      <c r="F22" s="44">
        <f>Tabela1[[#This Row],[Valor unitário]]*Tabela1[[#This Row],[Quantidade]]</f>
        <v>1750</v>
      </c>
    </row>
    <row r="23" spans="1:6" x14ac:dyDescent="0.25">
      <c r="A23" s="36">
        <v>43980</v>
      </c>
      <c r="B23" s="37">
        <v>1001</v>
      </c>
      <c r="C23" s="38" t="s">
        <v>9</v>
      </c>
      <c r="D23" s="38">
        <v>20</v>
      </c>
      <c r="E23" s="39">
        <v>29.5</v>
      </c>
      <c r="F23" s="44">
        <f>Tabela1[[#This Row],[Valor unitário]]*Tabela1[[#This Row],[Quantidade]]</f>
        <v>590</v>
      </c>
    </row>
    <row r="24" spans="1:6" x14ac:dyDescent="0.25">
      <c r="A24" s="36">
        <v>44072</v>
      </c>
      <c r="B24" s="37">
        <v>1005</v>
      </c>
      <c r="C24" s="38" t="s">
        <v>34</v>
      </c>
      <c r="D24" s="38">
        <v>5</v>
      </c>
      <c r="E24" s="39">
        <v>35.5</v>
      </c>
      <c r="F24" s="44">
        <f>Tabela1[[#This Row],[Valor unitário]]*Tabela1[[#This Row],[Quantidade]]</f>
        <v>177.5</v>
      </c>
    </row>
    <row r="25" spans="1:6" x14ac:dyDescent="0.25">
      <c r="A25" s="36">
        <v>44099</v>
      </c>
      <c r="B25" s="37">
        <v>1008</v>
      </c>
      <c r="C25" s="38" t="s">
        <v>38</v>
      </c>
      <c r="D25" s="38">
        <v>19</v>
      </c>
      <c r="E25" s="39">
        <v>25.5</v>
      </c>
      <c r="F25" s="44">
        <f>Tabela1[[#This Row],[Valor unitário]]*Tabela1[[#This Row],[Quantidade]]</f>
        <v>484.5</v>
      </c>
    </row>
    <row r="26" spans="1:6" x14ac:dyDescent="0.25">
      <c r="A26" s="36">
        <v>43979</v>
      </c>
      <c r="B26" s="37">
        <v>1001</v>
      </c>
      <c r="C26" s="38" t="s">
        <v>9</v>
      </c>
      <c r="D26" s="38">
        <v>26</v>
      </c>
      <c r="E26" s="39">
        <v>29.5</v>
      </c>
      <c r="F26" s="44">
        <f>Tabela1[[#This Row],[Valor unitário]]*Tabela1[[#This Row],[Quantidade]]</f>
        <v>767</v>
      </c>
    </row>
    <row r="27" spans="1:6" x14ac:dyDescent="0.25">
      <c r="A27" s="36">
        <v>43853</v>
      </c>
      <c r="B27" s="37">
        <v>1001</v>
      </c>
      <c r="C27" s="38" t="s">
        <v>9</v>
      </c>
      <c r="D27" s="38">
        <v>50</v>
      </c>
      <c r="E27" s="39">
        <v>29.5</v>
      </c>
      <c r="F27" s="44">
        <f>Tabela1[[#This Row],[Valor unitário]]*Tabela1[[#This Row],[Quantidade]]</f>
        <v>1475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73B1-640B-411B-BA2A-B5A335F08E97}">
  <sheetPr codeName="Planilha9"/>
  <dimension ref="A1:F471"/>
  <sheetViews>
    <sheetView showGridLines="0" workbookViewId="0"/>
  </sheetViews>
  <sheetFormatPr defaultRowHeight="15" x14ac:dyDescent="0.25"/>
  <cols>
    <col min="1" max="1" width="10.5703125" style="1" customWidth="1"/>
    <col min="2" max="2" width="9.28515625" customWidth="1"/>
    <col min="3" max="3" width="26.5703125" customWidth="1"/>
    <col min="4" max="4" width="13.5703125" customWidth="1"/>
    <col min="5" max="5" width="15.28515625" style="2" customWidth="1"/>
    <col min="6" max="6" width="13.85546875" style="2" customWidth="1"/>
  </cols>
  <sheetData>
    <row r="1" spans="1:6" x14ac:dyDescent="0.25">
      <c r="A1" s="72" t="s">
        <v>27</v>
      </c>
      <c r="B1" s="27"/>
      <c r="C1" s="27"/>
      <c r="D1" s="27"/>
      <c r="E1" s="29"/>
      <c r="F1" s="29"/>
    </row>
    <row r="2" spans="1:6" x14ac:dyDescent="0.25">
      <c r="A2" s="31" t="s">
        <v>0</v>
      </c>
      <c r="B2" s="33" t="s">
        <v>18</v>
      </c>
      <c r="C2" s="33" t="s">
        <v>19</v>
      </c>
      <c r="D2" s="33" t="s">
        <v>1</v>
      </c>
      <c r="E2" s="34" t="s">
        <v>20</v>
      </c>
      <c r="F2" s="40" t="s">
        <v>2</v>
      </c>
    </row>
    <row r="3" spans="1:6" x14ac:dyDescent="0.25">
      <c r="A3" s="75">
        <v>44227</v>
      </c>
      <c r="B3" s="38">
        <v>1001</v>
      </c>
      <c r="C3" s="38" t="s">
        <v>9</v>
      </c>
      <c r="D3" s="38">
        <v>3</v>
      </c>
      <c r="E3" s="39">
        <v>50</v>
      </c>
      <c r="F3" s="41">
        <f t="shared" ref="F3:F30" si="0">E3*D3</f>
        <v>150</v>
      </c>
    </row>
    <row r="4" spans="1:6" x14ac:dyDescent="0.25">
      <c r="A4" s="75">
        <v>44227</v>
      </c>
      <c r="B4" s="38">
        <v>1003</v>
      </c>
      <c r="C4" s="38" t="s">
        <v>32</v>
      </c>
      <c r="D4" s="38">
        <v>1</v>
      </c>
      <c r="E4" s="39">
        <v>191.5</v>
      </c>
      <c r="F4" s="41">
        <f t="shared" si="0"/>
        <v>191.5</v>
      </c>
    </row>
    <row r="5" spans="1:6" x14ac:dyDescent="0.25">
      <c r="A5" s="75">
        <v>44227</v>
      </c>
      <c r="B5" s="38" t="e">
        <v>#N/A</v>
      </c>
      <c r="C5" s="38"/>
      <c r="D5" s="38"/>
      <c r="E5" s="39"/>
      <c r="F5" s="41">
        <f t="shared" si="0"/>
        <v>0</v>
      </c>
    </row>
    <row r="6" spans="1:6" x14ac:dyDescent="0.25">
      <c r="A6" s="75">
        <v>44227</v>
      </c>
      <c r="B6" s="38" t="e">
        <v>#N/A</v>
      </c>
      <c r="C6" s="38"/>
      <c r="D6" s="38"/>
      <c r="E6" s="39"/>
      <c r="F6" s="41">
        <f t="shared" si="0"/>
        <v>0</v>
      </c>
    </row>
    <row r="7" spans="1:6" x14ac:dyDescent="0.25">
      <c r="A7" s="75">
        <v>44227</v>
      </c>
      <c r="B7" s="38" t="e">
        <v>#N/A</v>
      </c>
      <c r="C7" s="38"/>
      <c r="D7" s="38"/>
      <c r="E7" s="39"/>
      <c r="F7" s="41">
        <f t="shared" si="0"/>
        <v>0</v>
      </c>
    </row>
    <row r="8" spans="1:6" x14ac:dyDescent="0.25">
      <c r="A8" s="75">
        <v>44227</v>
      </c>
      <c r="B8" s="38">
        <v>1001</v>
      </c>
      <c r="C8" s="38" t="s">
        <v>9</v>
      </c>
      <c r="D8" s="38">
        <v>5</v>
      </c>
      <c r="E8" s="39">
        <v>50</v>
      </c>
      <c r="F8" s="41">
        <f t="shared" si="0"/>
        <v>250</v>
      </c>
    </row>
    <row r="9" spans="1:6" x14ac:dyDescent="0.25">
      <c r="A9" s="75">
        <v>44227</v>
      </c>
      <c r="B9" s="38">
        <v>1008</v>
      </c>
      <c r="C9" s="38" t="s">
        <v>38</v>
      </c>
      <c r="D9" s="38">
        <v>10</v>
      </c>
      <c r="E9" s="39">
        <v>50</v>
      </c>
      <c r="F9" s="41">
        <f t="shared" si="0"/>
        <v>500</v>
      </c>
    </row>
    <row r="10" spans="1:6" x14ac:dyDescent="0.25">
      <c r="A10" s="75">
        <v>44227</v>
      </c>
      <c r="B10" s="38" t="e">
        <v>#N/A</v>
      </c>
      <c r="C10" s="38"/>
      <c r="D10" s="38"/>
      <c r="E10" s="39"/>
      <c r="F10" s="41">
        <f t="shared" si="0"/>
        <v>0</v>
      </c>
    </row>
    <row r="11" spans="1:6" x14ac:dyDescent="0.25">
      <c r="A11" s="75">
        <v>44227</v>
      </c>
      <c r="B11" s="38" t="e">
        <v>#N/A</v>
      </c>
      <c r="C11" s="38"/>
      <c r="D11" s="38"/>
      <c r="E11" s="39"/>
      <c r="F11" s="41">
        <f t="shared" si="0"/>
        <v>0</v>
      </c>
    </row>
    <row r="12" spans="1:6" x14ac:dyDescent="0.25">
      <c r="A12" s="75">
        <v>44227</v>
      </c>
      <c r="B12" s="38" t="e">
        <v>#N/A</v>
      </c>
      <c r="C12" s="38"/>
      <c r="D12" s="38"/>
      <c r="E12" s="39"/>
      <c r="F12" s="41">
        <f t="shared" si="0"/>
        <v>0</v>
      </c>
    </row>
    <row r="13" spans="1:6" x14ac:dyDescent="0.25">
      <c r="A13" s="75">
        <v>44227</v>
      </c>
      <c r="B13" s="38" t="e">
        <v>#N/A</v>
      </c>
      <c r="C13" s="38"/>
      <c r="D13" s="38"/>
      <c r="E13" s="39"/>
      <c r="F13" s="41">
        <f t="shared" si="0"/>
        <v>0</v>
      </c>
    </row>
    <row r="14" spans="1:6" x14ac:dyDescent="0.25">
      <c r="A14" s="75">
        <v>44227</v>
      </c>
      <c r="B14" s="38">
        <v>1003</v>
      </c>
      <c r="C14" s="38" t="s">
        <v>32</v>
      </c>
      <c r="D14" s="38">
        <v>1</v>
      </c>
      <c r="E14" s="39">
        <v>199.5</v>
      </c>
      <c r="F14" s="41">
        <f t="shared" si="0"/>
        <v>199.5</v>
      </c>
    </row>
    <row r="15" spans="1:6" x14ac:dyDescent="0.25">
      <c r="A15" s="75">
        <v>44227</v>
      </c>
      <c r="B15" s="38" t="e">
        <v>#N/A</v>
      </c>
      <c r="C15" s="38"/>
      <c r="D15" s="38"/>
      <c r="E15" s="39"/>
      <c r="F15" s="41">
        <f t="shared" si="0"/>
        <v>0</v>
      </c>
    </row>
    <row r="16" spans="1:6" x14ac:dyDescent="0.25">
      <c r="A16" s="75">
        <v>44227</v>
      </c>
      <c r="B16" s="38" t="e">
        <v>#N/A</v>
      </c>
      <c r="C16" s="38"/>
      <c r="D16" s="38"/>
      <c r="E16" s="39"/>
      <c r="F16" s="41">
        <f t="shared" si="0"/>
        <v>0</v>
      </c>
    </row>
    <row r="17" spans="1:6" x14ac:dyDescent="0.25">
      <c r="A17" s="75">
        <v>44227</v>
      </c>
      <c r="B17" s="38" t="e">
        <v>#N/A</v>
      </c>
      <c r="C17" s="38"/>
      <c r="D17" s="38"/>
      <c r="E17" s="39"/>
      <c r="F17" s="41">
        <f t="shared" si="0"/>
        <v>0</v>
      </c>
    </row>
    <row r="18" spans="1:6" x14ac:dyDescent="0.25">
      <c r="A18" s="75">
        <v>44227</v>
      </c>
      <c r="B18" s="38" t="e">
        <v>#N/A</v>
      </c>
      <c r="C18" s="38"/>
      <c r="D18" s="38"/>
      <c r="E18" s="39"/>
      <c r="F18" s="41">
        <f t="shared" si="0"/>
        <v>0</v>
      </c>
    </row>
    <row r="19" spans="1:6" x14ac:dyDescent="0.25">
      <c r="A19" s="75">
        <v>44227</v>
      </c>
      <c r="B19" s="38">
        <v>1004</v>
      </c>
      <c r="C19" s="38" t="s">
        <v>6</v>
      </c>
      <c r="D19" s="38">
        <v>1</v>
      </c>
      <c r="E19" s="39">
        <v>200</v>
      </c>
      <c r="F19" s="41">
        <f t="shared" si="0"/>
        <v>200</v>
      </c>
    </row>
    <row r="20" spans="1:6" x14ac:dyDescent="0.25">
      <c r="A20" s="75">
        <v>44227</v>
      </c>
      <c r="B20" s="38" t="e">
        <v>#N/A</v>
      </c>
      <c r="C20" s="38"/>
      <c r="D20" s="38"/>
      <c r="E20" s="39"/>
      <c r="F20" s="41">
        <f t="shared" si="0"/>
        <v>0</v>
      </c>
    </row>
    <row r="21" spans="1:6" x14ac:dyDescent="0.25">
      <c r="A21" s="75">
        <v>44227</v>
      </c>
      <c r="B21" s="38" t="e">
        <v>#N/A</v>
      </c>
      <c r="C21" s="38"/>
      <c r="D21" s="38"/>
      <c r="E21" s="39"/>
      <c r="F21" s="41">
        <f t="shared" si="0"/>
        <v>0</v>
      </c>
    </row>
    <row r="22" spans="1:6" x14ac:dyDescent="0.25">
      <c r="A22" s="75">
        <v>44227</v>
      </c>
      <c r="B22" s="38" t="e">
        <v>#N/A</v>
      </c>
      <c r="C22" s="38"/>
      <c r="D22" s="38"/>
      <c r="E22" s="39"/>
      <c r="F22" s="41">
        <f t="shared" si="0"/>
        <v>0</v>
      </c>
    </row>
    <row r="23" spans="1:6" x14ac:dyDescent="0.25">
      <c r="A23" s="75">
        <v>44227</v>
      </c>
      <c r="B23" s="38" t="e">
        <v>#N/A</v>
      </c>
      <c r="C23" s="38"/>
      <c r="D23" s="38"/>
      <c r="E23" s="39"/>
      <c r="F23" s="41">
        <f t="shared" si="0"/>
        <v>0</v>
      </c>
    </row>
    <row r="24" spans="1:6" x14ac:dyDescent="0.25">
      <c r="A24" s="75">
        <v>44227</v>
      </c>
      <c r="B24" s="38">
        <v>1001</v>
      </c>
      <c r="C24" s="38" t="s">
        <v>9</v>
      </c>
      <c r="D24" s="38">
        <v>2</v>
      </c>
      <c r="E24" s="39">
        <v>65</v>
      </c>
      <c r="F24" s="41">
        <f t="shared" si="0"/>
        <v>130</v>
      </c>
    </row>
    <row r="25" spans="1:6" x14ac:dyDescent="0.25">
      <c r="A25" s="75">
        <v>44227</v>
      </c>
      <c r="B25" s="38">
        <v>1002</v>
      </c>
      <c r="C25" s="38" t="s">
        <v>31</v>
      </c>
      <c r="D25" s="38">
        <v>2</v>
      </c>
      <c r="E25" s="39">
        <v>55</v>
      </c>
      <c r="F25" s="41">
        <f t="shared" si="0"/>
        <v>110</v>
      </c>
    </row>
    <row r="26" spans="1:6" x14ac:dyDescent="0.25">
      <c r="A26" s="75">
        <v>44227</v>
      </c>
      <c r="B26" s="38" t="e">
        <v>#N/A</v>
      </c>
      <c r="C26" s="38"/>
      <c r="D26" s="38"/>
      <c r="E26" s="39"/>
      <c r="F26" s="41">
        <f t="shared" si="0"/>
        <v>0</v>
      </c>
    </row>
    <row r="27" spans="1:6" x14ac:dyDescent="0.25">
      <c r="A27" s="75">
        <v>44227</v>
      </c>
      <c r="B27" s="38" t="e">
        <v>#N/A</v>
      </c>
      <c r="C27" s="38"/>
      <c r="D27" s="38"/>
      <c r="E27" s="39"/>
      <c r="F27" s="41">
        <f t="shared" si="0"/>
        <v>0</v>
      </c>
    </row>
    <row r="28" spans="1:6" x14ac:dyDescent="0.25">
      <c r="A28" s="75">
        <v>44227</v>
      </c>
      <c r="B28" s="38" t="e">
        <v>#N/A</v>
      </c>
      <c r="C28" s="38"/>
      <c r="D28" s="38"/>
      <c r="E28" s="39"/>
      <c r="F28" s="41">
        <f t="shared" si="0"/>
        <v>0</v>
      </c>
    </row>
    <row r="29" spans="1:6" x14ac:dyDescent="0.25">
      <c r="A29" s="75">
        <v>44227</v>
      </c>
      <c r="B29" s="38">
        <v>1006</v>
      </c>
      <c r="C29" s="38" t="s">
        <v>35</v>
      </c>
      <c r="D29" s="38">
        <v>2</v>
      </c>
      <c r="E29" s="39">
        <v>50</v>
      </c>
      <c r="F29" s="41">
        <f t="shared" si="0"/>
        <v>100</v>
      </c>
    </row>
    <row r="30" spans="1:6" x14ac:dyDescent="0.25">
      <c r="A30" s="75">
        <v>44227</v>
      </c>
      <c r="B30" s="38">
        <v>1007</v>
      </c>
      <c r="C30" s="38" t="s">
        <v>37</v>
      </c>
      <c r="D30" s="38">
        <v>5</v>
      </c>
      <c r="E30" s="39">
        <v>19.5</v>
      </c>
      <c r="F30" s="41">
        <f t="shared" si="0"/>
        <v>97.5</v>
      </c>
    </row>
    <row r="31" spans="1:6" x14ac:dyDescent="0.25">
      <c r="A31" s="75">
        <v>44225</v>
      </c>
      <c r="B31" s="38">
        <v>1002</v>
      </c>
      <c r="C31" s="38" t="s">
        <v>31</v>
      </c>
      <c r="D31" s="38">
        <v>1</v>
      </c>
      <c r="E31" s="39">
        <v>50</v>
      </c>
      <c r="F31" s="41">
        <f t="shared" ref="F31:F55" si="1">E31*D31</f>
        <v>50</v>
      </c>
    </row>
    <row r="32" spans="1:6" x14ac:dyDescent="0.25">
      <c r="A32" s="75">
        <v>44225</v>
      </c>
      <c r="B32" s="38">
        <v>1003</v>
      </c>
      <c r="C32" s="38" t="s">
        <v>32</v>
      </c>
      <c r="D32" s="38">
        <v>1</v>
      </c>
      <c r="E32" s="39">
        <v>190</v>
      </c>
      <c r="F32" s="41">
        <f t="shared" si="1"/>
        <v>190</v>
      </c>
    </row>
    <row r="33" spans="1:6" x14ac:dyDescent="0.25">
      <c r="A33" s="75">
        <v>44225</v>
      </c>
      <c r="B33" s="38" t="e">
        <v>#N/A</v>
      </c>
      <c r="C33" s="38"/>
      <c r="D33" s="38"/>
      <c r="E33" s="39"/>
      <c r="F33" s="41">
        <f t="shared" si="1"/>
        <v>0</v>
      </c>
    </row>
    <row r="34" spans="1:6" x14ac:dyDescent="0.25">
      <c r="A34" s="75">
        <v>44225</v>
      </c>
      <c r="B34" s="38" t="e">
        <v>#N/A</v>
      </c>
      <c r="C34" s="38"/>
      <c r="D34" s="38"/>
      <c r="E34" s="39"/>
      <c r="F34" s="41">
        <f t="shared" si="1"/>
        <v>0</v>
      </c>
    </row>
    <row r="35" spans="1:6" x14ac:dyDescent="0.25">
      <c r="A35" s="75">
        <v>44225</v>
      </c>
      <c r="B35" s="38" t="e">
        <v>#N/A</v>
      </c>
      <c r="C35" s="38"/>
      <c r="D35" s="38"/>
      <c r="E35" s="39"/>
      <c r="F35" s="41">
        <f t="shared" si="1"/>
        <v>0</v>
      </c>
    </row>
    <row r="36" spans="1:6" x14ac:dyDescent="0.25">
      <c r="A36" s="75">
        <v>44225</v>
      </c>
      <c r="B36" s="38">
        <v>1002</v>
      </c>
      <c r="C36" s="38" t="s">
        <v>31</v>
      </c>
      <c r="D36" s="38">
        <v>3</v>
      </c>
      <c r="E36" s="39">
        <v>65</v>
      </c>
      <c r="F36" s="41">
        <f t="shared" si="1"/>
        <v>195</v>
      </c>
    </row>
    <row r="37" spans="1:6" x14ac:dyDescent="0.25">
      <c r="A37" s="75">
        <v>44225</v>
      </c>
      <c r="B37" s="38" t="e">
        <v>#N/A</v>
      </c>
      <c r="C37" s="38"/>
      <c r="D37" s="38"/>
      <c r="E37" s="39"/>
      <c r="F37" s="41">
        <f t="shared" si="1"/>
        <v>0</v>
      </c>
    </row>
    <row r="38" spans="1:6" x14ac:dyDescent="0.25">
      <c r="A38" s="75">
        <v>44225</v>
      </c>
      <c r="B38" s="38" t="e">
        <v>#N/A</v>
      </c>
      <c r="C38" s="38"/>
      <c r="D38" s="38"/>
      <c r="E38" s="39"/>
      <c r="F38" s="41">
        <f t="shared" si="1"/>
        <v>0</v>
      </c>
    </row>
    <row r="39" spans="1:6" x14ac:dyDescent="0.25">
      <c r="A39" s="75">
        <v>44225</v>
      </c>
      <c r="B39" s="38" t="e">
        <v>#N/A</v>
      </c>
      <c r="C39" s="38"/>
      <c r="D39" s="38"/>
      <c r="E39" s="39"/>
      <c r="F39" s="41">
        <f t="shared" si="1"/>
        <v>0</v>
      </c>
    </row>
    <row r="40" spans="1:6" x14ac:dyDescent="0.25">
      <c r="A40" s="75">
        <v>44225</v>
      </c>
      <c r="B40" s="38" t="e">
        <v>#N/A</v>
      </c>
      <c r="C40" s="38"/>
      <c r="D40" s="38"/>
      <c r="E40" s="39"/>
      <c r="F40" s="41">
        <f t="shared" si="1"/>
        <v>0</v>
      </c>
    </row>
    <row r="41" spans="1:6" x14ac:dyDescent="0.25">
      <c r="A41" s="75">
        <v>44225</v>
      </c>
      <c r="B41" s="38">
        <v>1005</v>
      </c>
      <c r="C41" s="38" t="s">
        <v>34</v>
      </c>
      <c r="D41" s="38">
        <v>1</v>
      </c>
      <c r="E41" s="39">
        <v>180</v>
      </c>
      <c r="F41" s="41">
        <f t="shared" si="1"/>
        <v>180</v>
      </c>
    </row>
    <row r="42" spans="1:6" x14ac:dyDescent="0.25">
      <c r="A42" s="75">
        <v>44225</v>
      </c>
      <c r="B42" s="38" t="e">
        <v>#N/A</v>
      </c>
      <c r="C42" s="38"/>
      <c r="D42" s="38"/>
      <c r="E42" s="39"/>
      <c r="F42" s="41">
        <f t="shared" si="1"/>
        <v>0</v>
      </c>
    </row>
    <row r="43" spans="1:6" x14ac:dyDescent="0.25">
      <c r="A43" s="75">
        <v>44225</v>
      </c>
      <c r="B43" s="38" t="e">
        <v>#N/A</v>
      </c>
      <c r="C43" s="38"/>
      <c r="D43" s="38"/>
      <c r="E43" s="39"/>
      <c r="F43" s="41">
        <f t="shared" si="1"/>
        <v>0</v>
      </c>
    </row>
    <row r="44" spans="1:6" x14ac:dyDescent="0.25">
      <c r="A44" s="75">
        <v>44225</v>
      </c>
      <c r="B44" s="38" t="e">
        <v>#N/A</v>
      </c>
      <c r="C44" s="38"/>
      <c r="D44" s="38"/>
      <c r="E44" s="39"/>
      <c r="F44" s="41">
        <f t="shared" si="1"/>
        <v>0</v>
      </c>
    </row>
    <row r="45" spans="1:6" x14ac:dyDescent="0.25">
      <c r="A45" s="75">
        <v>44225</v>
      </c>
      <c r="B45" s="38" t="e">
        <v>#N/A</v>
      </c>
      <c r="C45" s="38"/>
      <c r="D45" s="38"/>
      <c r="E45" s="39"/>
      <c r="F45" s="41">
        <f t="shared" si="1"/>
        <v>0</v>
      </c>
    </row>
    <row r="46" spans="1:6" x14ac:dyDescent="0.25">
      <c r="A46" s="75">
        <v>44225</v>
      </c>
      <c r="B46" s="38">
        <v>1003</v>
      </c>
      <c r="C46" s="38" t="s">
        <v>32</v>
      </c>
      <c r="D46" s="38">
        <v>1</v>
      </c>
      <c r="E46" s="39">
        <v>190</v>
      </c>
      <c r="F46" s="41">
        <f t="shared" si="1"/>
        <v>190</v>
      </c>
    </row>
    <row r="47" spans="1:6" x14ac:dyDescent="0.25">
      <c r="A47" s="75">
        <v>44225</v>
      </c>
      <c r="B47" s="38" t="e">
        <v>#N/A</v>
      </c>
      <c r="C47" s="38"/>
      <c r="D47" s="38"/>
      <c r="E47" s="39"/>
      <c r="F47" s="41">
        <f t="shared" si="1"/>
        <v>0</v>
      </c>
    </row>
    <row r="48" spans="1:6" x14ac:dyDescent="0.25">
      <c r="A48" s="75">
        <v>44225</v>
      </c>
      <c r="B48" s="38" t="e">
        <v>#N/A</v>
      </c>
      <c r="C48" s="38"/>
      <c r="D48" s="38"/>
      <c r="E48" s="39"/>
      <c r="F48" s="41">
        <f t="shared" si="1"/>
        <v>0</v>
      </c>
    </row>
    <row r="49" spans="1:6" x14ac:dyDescent="0.25">
      <c r="A49" s="75">
        <v>44225</v>
      </c>
      <c r="B49" s="38" t="e">
        <v>#N/A</v>
      </c>
      <c r="C49" s="38"/>
      <c r="D49" s="38"/>
      <c r="E49" s="39"/>
      <c r="F49" s="41">
        <f t="shared" si="1"/>
        <v>0</v>
      </c>
    </row>
    <row r="50" spans="1:6" x14ac:dyDescent="0.25">
      <c r="A50" s="75">
        <v>44225</v>
      </c>
      <c r="B50" s="38" t="e">
        <v>#N/A</v>
      </c>
      <c r="C50" s="38"/>
      <c r="D50" s="38"/>
      <c r="E50" s="39"/>
      <c r="F50" s="41">
        <f t="shared" si="1"/>
        <v>0</v>
      </c>
    </row>
    <row r="51" spans="1:6" x14ac:dyDescent="0.25">
      <c r="A51" s="75">
        <v>44225</v>
      </c>
      <c r="B51" s="38">
        <v>1003</v>
      </c>
      <c r="C51" s="38" t="s">
        <v>32</v>
      </c>
      <c r="D51" s="38">
        <v>1</v>
      </c>
      <c r="E51" s="39">
        <v>190</v>
      </c>
      <c r="F51" s="41">
        <f t="shared" si="1"/>
        <v>190</v>
      </c>
    </row>
    <row r="52" spans="1:6" x14ac:dyDescent="0.25">
      <c r="A52" s="75">
        <v>44225</v>
      </c>
      <c r="B52" s="38">
        <v>1001</v>
      </c>
      <c r="C52" s="38" t="s">
        <v>9</v>
      </c>
      <c r="D52" s="38">
        <v>1</v>
      </c>
      <c r="E52" s="39">
        <v>50</v>
      </c>
      <c r="F52" s="41">
        <f t="shared" si="1"/>
        <v>50</v>
      </c>
    </row>
    <row r="53" spans="1:6" x14ac:dyDescent="0.25">
      <c r="A53" s="75">
        <v>44225</v>
      </c>
      <c r="B53" s="38" t="e">
        <v>#N/A</v>
      </c>
      <c r="C53" s="38"/>
      <c r="D53" s="38"/>
      <c r="E53" s="39"/>
      <c r="F53" s="41">
        <f t="shared" si="1"/>
        <v>0</v>
      </c>
    </row>
    <row r="54" spans="1:6" x14ac:dyDescent="0.25">
      <c r="A54" s="75">
        <v>44225</v>
      </c>
      <c r="B54" s="38" t="e">
        <v>#N/A</v>
      </c>
      <c r="C54" s="38"/>
      <c r="D54" s="38"/>
      <c r="E54" s="39"/>
      <c r="F54" s="41">
        <f t="shared" si="1"/>
        <v>0</v>
      </c>
    </row>
    <row r="55" spans="1:6" x14ac:dyDescent="0.25">
      <c r="A55" s="75">
        <v>44225</v>
      </c>
      <c r="B55" s="38" t="e">
        <v>#N/A</v>
      </c>
      <c r="C55" s="38"/>
      <c r="D55" s="38"/>
      <c r="E55" s="39"/>
      <c r="F55" s="41">
        <f t="shared" si="1"/>
        <v>0</v>
      </c>
    </row>
    <row r="56" spans="1:6" x14ac:dyDescent="0.25">
      <c r="A56" s="75">
        <v>44225</v>
      </c>
      <c r="B56" s="38">
        <v>1001</v>
      </c>
      <c r="C56" s="38" t="s">
        <v>9</v>
      </c>
      <c r="D56" s="38">
        <v>1</v>
      </c>
      <c r="E56" s="39">
        <v>50</v>
      </c>
      <c r="F56" s="41">
        <f t="shared" ref="F56:F87" si="2">E56*D56</f>
        <v>50</v>
      </c>
    </row>
    <row r="57" spans="1:6" x14ac:dyDescent="0.25">
      <c r="A57" s="75">
        <v>44225</v>
      </c>
      <c r="B57" s="38">
        <v>1002</v>
      </c>
      <c r="C57" s="38" t="s">
        <v>31</v>
      </c>
      <c r="D57" s="38">
        <v>1</v>
      </c>
      <c r="E57" s="39">
        <v>50</v>
      </c>
      <c r="F57" s="41">
        <f t="shared" si="2"/>
        <v>50</v>
      </c>
    </row>
    <row r="58" spans="1:6" x14ac:dyDescent="0.25">
      <c r="A58" s="75">
        <v>44225</v>
      </c>
      <c r="B58" s="38">
        <v>1006</v>
      </c>
      <c r="C58" s="38" t="s">
        <v>35</v>
      </c>
      <c r="D58" s="38">
        <v>1</v>
      </c>
      <c r="E58" s="39">
        <v>50</v>
      </c>
      <c r="F58" s="41">
        <f t="shared" si="2"/>
        <v>50</v>
      </c>
    </row>
    <row r="59" spans="1:6" x14ac:dyDescent="0.25">
      <c r="A59" s="75">
        <v>44225</v>
      </c>
      <c r="B59" s="38">
        <v>1007</v>
      </c>
      <c r="C59" s="38" t="s">
        <v>37</v>
      </c>
      <c r="D59" s="38">
        <v>1</v>
      </c>
      <c r="E59" s="39">
        <v>50</v>
      </c>
      <c r="F59" s="41">
        <f t="shared" si="2"/>
        <v>50</v>
      </c>
    </row>
    <row r="60" spans="1:6" x14ac:dyDescent="0.25">
      <c r="A60" s="75">
        <v>44225</v>
      </c>
      <c r="B60" s="38">
        <v>1008</v>
      </c>
      <c r="C60" s="38" t="s">
        <v>38</v>
      </c>
      <c r="D60" s="38">
        <v>1</v>
      </c>
      <c r="E60" s="39">
        <v>50</v>
      </c>
      <c r="F60" s="41">
        <f t="shared" si="2"/>
        <v>50</v>
      </c>
    </row>
    <row r="61" spans="1:6" x14ac:dyDescent="0.25">
      <c r="A61" s="75">
        <v>44225</v>
      </c>
      <c r="B61" s="38">
        <v>1004</v>
      </c>
      <c r="C61" s="38" t="s">
        <v>6</v>
      </c>
      <c r="D61" s="38">
        <v>1</v>
      </c>
      <c r="E61" s="39">
        <v>191.5</v>
      </c>
      <c r="F61" s="41">
        <f t="shared" si="2"/>
        <v>191.5</v>
      </c>
    </row>
    <row r="62" spans="1:6" x14ac:dyDescent="0.25">
      <c r="A62" s="75">
        <v>44225</v>
      </c>
      <c r="B62" s="38">
        <v>1007</v>
      </c>
      <c r="C62" s="38" t="s">
        <v>37</v>
      </c>
      <c r="D62" s="38">
        <v>1</v>
      </c>
      <c r="E62" s="39">
        <v>55</v>
      </c>
      <c r="F62" s="41">
        <f t="shared" si="2"/>
        <v>55</v>
      </c>
    </row>
    <row r="63" spans="1:6" x14ac:dyDescent="0.25">
      <c r="A63" s="75">
        <v>44225</v>
      </c>
      <c r="B63" s="38">
        <v>1009</v>
      </c>
      <c r="C63" s="38" t="s">
        <v>40</v>
      </c>
      <c r="D63" s="38">
        <v>1</v>
      </c>
      <c r="E63" s="39">
        <v>65</v>
      </c>
      <c r="F63" s="41">
        <f t="shared" si="2"/>
        <v>65</v>
      </c>
    </row>
    <row r="64" spans="1:6" x14ac:dyDescent="0.25">
      <c r="A64" s="75">
        <v>44225</v>
      </c>
      <c r="B64" s="38">
        <v>1008</v>
      </c>
      <c r="C64" s="38" t="s">
        <v>38</v>
      </c>
      <c r="D64" s="38">
        <v>1</v>
      </c>
      <c r="E64" s="39">
        <v>50</v>
      </c>
      <c r="F64" s="41">
        <f t="shared" si="2"/>
        <v>50</v>
      </c>
    </row>
    <row r="65" spans="1:6" x14ac:dyDescent="0.25">
      <c r="A65" s="75">
        <v>44225</v>
      </c>
      <c r="B65" s="38">
        <v>1010</v>
      </c>
      <c r="C65" s="38" t="s">
        <v>41</v>
      </c>
      <c r="D65" s="38">
        <v>1</v>
      </c>
      <c r="E65" s="39">
        <v>55</v>
      </c>
      <c r="F65" s="41">
        <f t="shared" si="2"/>
        <v>55</v>
      </c>
    </row>
    <row r="66" spans="1:6" x14ac:dyDescent="0.25">
      <c r="A66" s="75">
        <v>44225</v>
      </c>
      <c r="B66" s="38">
        <v>1002</v>
      </c>
      <c r="C66" s="38" t="s">
        <v>31</v>
      </c>
      <c r="D66" s="38">
        <v>1</v>
      </c>
      <c r="E66" s="39">
        <v>50</v>
      </c>
      <c r="F66" s="41">
        <f t="shared" si="2"/>
        <v>50</v>
      </c>
    </row>
    <row r="67" spans="1:6" x14ac:dyDescent="0.25">
      <c r="A67" s="75">
        <v>44225</v>
      </c>
      <c r="B67" s="38">
        <v>1001</v>
      </c>
      <c r="C67" s="38" t="s">
        <v>9</v>
      </c>
      <c r="D67" s="38">
        <v>1</v>
      </c>
      <c r="E67" s="39">
        <v>65</v>
      </c>
      <c r="F67" s="41">
        <f t="shared" si="2"/>
        <v>65</v>
      </c>
    </row>
    <row r="68" spans="1:6" x14ac:dyDescent="0.25">
      <c r="A68" s="75">
        <v>44225</v>
      </c>
      <c r="B68" s="38">
        <v>1001</v>
      </c>
      <c r="C68" s="38" t="s">
        <v>9</v>
      </c>
      <c r="D68" s="38">
        <v>1</v>
      </c>
      <c r="E68" s="39">
        <v>50</v>
      </c>
      <c r="F68" s="41">
        <f t="shared" si="2"/>
        <v>50</v>
      </c>
    </row>
    <row r="69" spans="1:6" x14ac:dyDescent="0.25">
      <c r="A69" s="75">
        <v>44225</v>
      </c>
      <c r="B69" s="38">
        <v>1002</v>
      </c>
      <c r="C69" s="38" t="s">
        <v>31</v>
      </c>
      <c r="D69" s="38">
        <v>1</v>
      </c>
      <c r="E69" s="39">
        <v>50</v>
      </c>
      <c r="F69" s="41">
        <f t="shared" si="2"/>
        <v>50</v>
      </c>
    </row>
    <row r="70" spans="1:6" x14ac:dyDescent="0.25">
      <c r="A70" s="75">
        <v>44225</v>
      </c>
      <c r="B70" s="38">
        <v>1006</v>
      </c>
      <c r="C70" s="38" t="s">
        <v>35</v>
      </c>
      <c r="D70" s="38">
        <v>1</v>
      </c>
      <c r="E70" s="39">
        <v>50</v>
      </c>
      <c r="F70" s="41">
        <f t="shared" si="2"/>
        <v>50</v>
      </c>
    </row>
    <row r="71" spans="1:6" x14ac:dyDescent="0.25">
      <c r="A71" s="75">
        <v>44225</v>
      </c>
      <c r="B71" s="38">
        <v>1009</v>
      </c>
      <c r="C71" s="38" t="s">
        <v>40</v>
      </c>
      <c r="D71" s="38">
        <v>1</v>
      </c>
      <c r="E71" s="39">
        <v>50</v>
      </c>
      <c r="F71" s="41">
        <f t="shared" si="2"/>
        <v>50</v>
      </c>
    </row>
    <row r="72" spans="1:6" x14ac:dyDescent="0.25">
      <c r="A72" s="75">
        <v>44225</v>
      </c>
      <c r="B72" s="38">
        <v>1007</v>
      </c>
      <c r="C72" s="38" t="s">
        <v>37</v>
      </c>
      <c r="D72" s="38">
        <v>1</v>
      </c>
      <c r="E72" s="39">
        <v>50</v>
      </c>
      <c r="F72" s="41">
        <f t="shared" si="2"/>
        <v>50</v>
      </c>
    </row>
    <row r="73" spans="1:6" x14ac:dyDescent="0.25">
      <c r="A73" s="75">
        <v>44225</v>
      </c>
      <c r="B73" s="38">
        <v>1010</v>
      </c>
      <c r="C73" s="38" t="s">
        <v>41</v>
      </c>
      <c r="D73" s="38">
        <v>1</v>
      </c>
      <c r="E73" s="39">
        <v>50</v>
      </c>
      <c r="F73" s="41">
        <f t="shared" si="2"/>
        <v>50</v>
      </c>
    </row>
    <row r="74" spans="1:6" x14ac:dyDescent="0.25">
      <c r="A74" s="75">
        <v>44225</v>
      </c>
      <c r="B74" s="38">
        <v>1009</v>
      </c>
      <c r="C74" s="38" t="s">
        <v>40</v>
      </c>
      <c r="D74" s="38">
        <v>1</v>
      </c>
      <c r="E74" s="39">
        <v>50</v>
      </c>
      <c r="F74" s="41">
        <f t="shared" si="2"/>
        <v>50</v>
      </c>
    </row>
    <row r="75" spans="1:6" x14ac:dyDescent="0.25">
      <c r="A75" s="75">
        <v>44225</v>
      </c>
      <c r="B75" s="38">
        <v>1008</v>
      </c>
      <c r="C75" s="38" t="s">
        <v>38</v>
      </c>
      <c r="D75" s="38">
        <v>1</v>
      </c>
      <c r="E75" s="39">
        <v>50</v>
      </c>
      <c r="F75" s="41">
        <f t="shared" si="2"/>
        <v>50</v>
      </c>
    </row>
    <row r="76" spans="1:6" x14ac:dyDescent="0.25">
      <c r="A76" s="75">
        <v>44225</v>
      </c>
      <c r="B76" s="38">
        <v>1007</v>
      </c>
      <c r="C76" s="38" t="s">
        <v>37</v>
      </c>
      <c r="D76" s="38">
        <v>1</v>
      </c>
      <c r="E76" s="39">
        <v>50</v>
      </c>
      <c r="F76" s="41">
        <f t="shared" si="2"/>
        <v>50</v>
      </c>
    </row>
    <row r="77" spans="1:6" x14ac:dyDescent="0.25">
      <c r="A77" s="75">
        <v>44225</v>
      </c>
      <c r="B77" s="38">
        <v>1006</v>
      </c>
      <c r="C77" s="38" t="s">
        <v>35</v>
      </c>
      <c r="D77" s="38">
        <v>1</v>
      </c>
      <c r="E77" s="39">
        <v>75</v>
      </c>
      <c r="F77" s="41">
        <f t="shared" si="2"/>
        <v>75</v>
      </c>
    </row>
    <row r="78" spans="1:6" x14ac:dyDescent="0.25">
      <c r="A78" s="75">
        <v>44225</v>
      </c>
      <c r="B78" s="38">
        <v>1001</v>
      </c>
      <c r="C78" s="38" t="s">
        <v>9</v>
      </c>
      <c r="D78" s="38">
        <v>1</v>
      </c>
      <c r="E78" s="39">
        <v>50</v>
      </c>
      <c r="F78" s="41">
        <f t="shared" si="2"/>
        <v>50</v>
      </c>
    </row>
    <row r="79" spans="1:6" x14ac:dyDescent="0.25">
      <c r="A79" s="75">
        <v>44225</v>
      </c>
      <c r="B79" s="38">
        <v>1002</v>
      </c>
      <c r="C79" s="38" t="s">
        <v>31</v>
      </c>
      <c r="D79" s="38">
        <v>1</v>
      </c>
      <c r="E79" s="39">
        <v>50</v>
      </c>
      <c r="F79" s="41">
        <f t="shared" si="2"/>
        <v>50</v>
      </c>
    </row>
    <row r="80" spans="1:6" x14ac:dyDescent="0.25">
      <c r="A80" s="75">
        <v>44225</v>
      </c>
      <c r="B80" s="38">
        <v>1007</v>
      </c>
      <c r="C80" s="38" t="s">
        <v>37</v>
      </c>
      <c r="D80" s="38">
        <v>1</v>
      </c>
      <c r="E80" s="39">
        <v>50</v>
      </c>
      <c r="F80" s="41">
        <f t="shared" si="2"/>
        <v>50</v>
      </c>
    </row>
    <row r="81" spans="1:6" x14ac:dyDescent="0.25">
      <c r="A81" s="75">
        <v>44225</v>
      </c>
      <c r="B81" s="38">
        <v>1006</v>
      </c>
      <c r="C81" s="38" t="s">
        <v>35</v>
      </c>
      <c r="D81" s="38">
        <v>1</v>
      </c>
      <c r="E81" s="39">
        <v>50</v>
      </c>
      <c r="F81" s="41">
        <f t="shared" si="2"/>
        <v>50</v>
      </c>
    </row>
    <row r="82" spans="1:6" x14ac:dyDescent="0.25">
      <c r="A82" s="75">
        <v>44225</v>
      </c>
      <c r="B82" s="38">
        <v>1008</v>
      </c>
      <c r="C82" s="38" t="s">
        <v>38</v>
      </c>
      <c r="D82" s="38">
        <v>1</v>
      </c>
      <c r="E82" s="39">
        <v>50</v>
      </c>
      <c r="F82" s="41">
        <f t="shared" si="2"/>
        <v>50</v>
      </c>
    </row>
    <row r="83" spans="1:6" x14ac:dyDescent="0.25">
      <c r="A83" s="75">
        <v>44224</v>
      </c>
      <c r="B83" s="38">
        <v>1011</v>
      </c>
      <c r="C83" s="38" t="s">
        <v>49</v>
      </c>
      <c r="D83" s="38">
        <v>10</v>
      </c>
      <c r="E83" s="39">
        <v>15.5</v>
      </c>
      <c r="F83" s="41">
        <f t="shared" si="2"/>
        <v>155</v>
      </c>
    </row>
    <row r="84" spans="1:6" x14ac:dyDescent="0.25">
      <c r="A84" s="75">
        <v>44224</v>
      </c>
      <c r="B84" s="38">
        <v>1011</v>
      </c>
      <c r="C84" s="38" t="s">
        <v>49</v>
      </c>
      <c r="D84" s="38">
        <v>30</v>
      </c>
      <c r="E84" s="39">
        <v>15.5</v>
      </c>
      <c r="F84" s="41">
        <f t="shared" si="2"/>
        <v>465</v>
      </c>
    </row>
    <row r="85" spans="1:6" x14ac:dyDescent="0.25">
      <c r="A85" s="75">
        <v>44094</v>
      </c>
      <c r="B85" s="38">
        <v>1001</v>
      </c>
      <c r="C85" s="38" t="s">
        <v>9</v>
      </c>
      <c r="D85" s="38">
        <v>10</v>
      </c>
      <c r="E85" s="39">
        <v>65</v>
      </c>
      <c r="F85" s="41">
        <f t="shared" si="2"/>
        <v>650</v>
      </c>
    </row>
    <row r="86" spans="1:6" x14ac:dyDescent="0.25">
      <c r="A86" s="75">
        <v>44094</v>
      </c>
      <c r="B86" s="38">
        <v>1002</v>
      </c>
      <c r="C86" s="38" t="s">
        <v>31</v>
      </c>
      <c r="D86" s="38">
        <v>10</v>
      </c>
      <c r="E86" s="39">
        <v>50</v>
      </c>
      <c r="F86" s="41">
        <f t="shared" si="2"/>
        <v>500</v>
      </c>
    </row>
    <row r="87" spans="1:6" x14ac:dyDescent="0.25">
      <c r="A87" s="75">
        <v>44094</v>
      </c>
      <c r="B87" s="38" t="e">
        <v>#N/A</v>
      </c>
      <c r="C87" s="38"/>
      <c r="D87" s="38"/>
      <c r="E87" s="39"/>
      <c r="F87" s="41">
        <f t="shared" si="2"/>
        <v>0</v>
      </c>
    </row>
    <row r="88" spans="1:6" x14ac:dyDescent="0.25">
      <c r="A88" s="75">
        <v>44094</v>
      </c>
      <c r="B88" s="38" t="e">
        <v>#N/A</v>
      </c>
      <c r="C88" s="38"/>
      <c r="D88" s="38"/>
      <c r="E88" s="39"/>
      <c r="F88" s="41">
        <f t="shared" ref="F88:F119" si="3">E88*D88</f>
        <v>0</v>
      </c>
    </row>
    <row r="89" spans="1:6" x14ac:dyDescent="0.25">
      <c r="A89" s="75">
        <v>44094</v>
      </c>
      <c r="B89" s="38" t="e">
        <v>#N/A</v>
      </c>
      <c r="C89" s="38"/>
      <c r="D89" s="38"/>
      <c r="E89" s="39"/>
      <c r="F89" s="41">
        <f t="shared" si="3"/>
        <v>0</v>
      </c>
    </row>
    <row r="90" spans="1:6" x14ac:dyDescent="0.25">
      <c r="A90" s="75">
        <v>44082</v>
      </c>
      <c r="B90" s="38">
        <v>1010</v>
      </c>
      <c r="C90" s="38" t="s">
        <v>41</v>
      </c>
      <c r="D90" s="38">
        <v>10</v>
      </c>
      <c r="E90" s="39">
        <v>50</v>
      </c>
      <c r="F90" s="41">
        <f t="shared" si="3"/>
        <v>500</v>
      </c>
    </row>
    <row r="91" spans="1:6" x14ac:dyDescent="0.25">
      <c r="A91" s="75">
        <v>44082</v>
      </c>
      <c r="B91" s="38">
        <v>1009</v>
      </c>
      <c r="C91" s="38" t="s">
        <v>40</v>
      </c>
      <c r="D91" s="38">
        <v>10</v>
      </c>
      <c r="E91" s="39">
        <v>85</v>
      </c>
      <c r="F91" s="41">
        <f t="shared" si="3"/>
        <v>850</v>
      </c>
    </row>
    <row r="92" spans="1:6" x14ac:dyDescent="0.25">
      <c r="A92" s="75">
        <v>44082</v>
      </c>
      <c r="B92" s="38">
        <v>1008</v>
      </c>
      <c r="C92" s="38" t="s">
        <v>38</v>
      </c>
      <c r="D92" s="38">
        <v>6</v>
      </c>
      <c r="E92" s="39">
        <v>75</v>
      </c>
      <c r="F92" s="41">
        <f t="shared" si="3"/>
        <v>450</v>
      </c>
    </row>
    <row r="93" spans="1:6" x14ac:dyDescent="0.25">
      <c r="A93" s="75">
        <v>44082</v>
      </c>
      <c r="B93" s="38">
        <v>1006</v>
      </c>
      <c r="C93" s="38" t="s">
        <v>35</v>
      </c>
      <c r="D93" s="38">
        <v>5</v>
      </c>
      <c r="E93" s="39">
        <v>50</v>
      </c>
      <c r="F93" s="41">
        <f t="shared" si="3"/>
        <v>250</v>
      </c>
    </row>
    <row r="94" spans="1:6" x14ac:dyDescent="0.25">
      <c r="A94" s="75">
        <v>44082</v>
      </c>
      <c r="B94" s="38">
        <v>1004</v>
      </c>
      <c r="C94" s="38" t="s">
        <v>6</v>
      </c>
      <c r="D94" s="38">
        <v>1</v>
      </c>
      <c r="E94" s="39">
        <v>180</v>
      </c>
      <c r="F94" s="41">
        <f t="shared" si="3"/>
        <v>180</v>
      </c>
    </row>
    <row r="95" spans="1:6" x14ac:dyDescent="0.25">
      <c r="A95" s="75">
        <v>44075</v>
      </c>
      <c r="B95" s="38">
        <v>1001</v>
      </c>
      <c r="C95" s="38" t="s">
        <v>9</v>
      </c>
      <c r="D95" s="38">
        <v>5</v>
      </c>
      <c r="E95" s="39">
        <v>55</v>
      </c>
      <c r="F95" s="41">
        <f t="shared" si="3"/>
        <v>275</v>
      </c>
    </row>
    <row r="96" spans="1:6" x14ac:dyDescent="0.25">
      <c r="A96" s="75">
        <v>44075</v>
      </c>
      <c r="B96" s="38">
        <v>1003</v>
      </c>
      <c r="C96" s="38" t="s">
        <v>32</v>
      </c>
      <c r="D96" s="38">
        <v>5</v>
      </c>
      <c r="E96" s="39">
        <v>180</v>
      </c>
      <c r="F96" s="41">
        <f t="shared" si="3"/>
        <v>900</v>
      </c>
    </row>
    <row r="97" spans="1:6" x14ac:dyDescent="0.25">
      <c r="A97" s="75">
        <v>44075</v>
      </c>
      <c r="B97" s="38">
        <v>1007</v>
      </c>
      <c r="C97" s="38" t="s">
        <v>37</v>
      </c>
      <c r="D97" s="38">
        <v>8</v>
      </c>
      <c r="E97" s="39">
        <v>65</v>
      </c>
      <c r="F97" s="41">
        <f t="shared" si="3"/>
        <v>520</v>
      </c>
    </row>
    <row r="98" spans="1:6" x14ac:dyDescent="0.25">
      <c r="A98" s="75">
        <v>44075</v>
      </c>
      <c r="B98" s="38">
        <v>1002</v>
      </c>
      <c r="C98" s="38" t="s">
        <v>31</v>
      </c>
      <c r="D98" s="38">
        <v>5</v>
      </c>
      <c r="E98" s="39">
        <v>58</v>
      </c>
      <c r="F98" s="41">
        <f t="shared" si="3"/>
        <v>290</v>
      </c>
    </row>
    <row r="99" spans="1:6" x14ac:dyDescent="0.25">
      <c r="A99" s="75">
        <v>44075</v>
      </c>
      <c r="B99" s="38">
        <v>1010</v>
      </c>
      <c r="C99" s="38" t="s">
        <v>41</v>
      </c>
      <c r="D99" s="38">
        <v>10</v>
      </c>
      <c r="E99" s="39">
        <v>59</v>
      </c>
      <c r="F99" s="41">
        <f t="shared" si="3"/>
        <v>590</v>
      </c>
    </row>
    <row r="100" spans="1:6" x14ac:dyDescent="0.25">
      <c r="A100" s="75">
        <v>44112</v>
      </c>
      <c r="B100" s="38">
        <v>1001</v>
      </c>
      <c r="C100" s="38" t="s">
        <v>9</v>
      </c>
      <c r="D100" s="38">
        <v>5</v>
      </c>
      <c r="E100" s="39">
        <v>50</v>
      </c>
      <c r="F100" s="41">
        <f t="shared" si="3"/>
        <v>250</v>
      </c>
    </row>
    <row r="101" spans="1:6" x14ac:dyDescent="0.25">
      <c r="A101" s="75">
        <v>44112</v>
      </c>
      <c r="B101" s="38">
        <v>1006</v>
      </c>
      <c r="C101" s="38" t="s">
        <v>35</v>
      </c>
      <c r="D101" s="38">
        <v>4</v>
      </c>
      <c r="E101" s="39">
        <v>50</v>
      </c>
      <c r="F101" s="41">
        <f t="shared" si="3"/>
        <v>200</v>
      </c>
    </row>
    <row r="102" spans="1:6" x14ac:dyDescent="0.25">
      <c r="A102" s="75">
        <v>44112</v>
      </c>
      <c r="B102" s="38">
        <v>1007</v>
      </c>
      <c r="C102" s="38" t="s">
        <v>37</v>
      </c>
      <c r="D102" s="38">
        <v>2</v>
      </c>
      <c r="E102" s="39">
        <v>45</v>
      </c>
      <c r="F102" s="41">
        <f t="shared" si="3"/>
        <v>90</v>
      </c>
    </row>
    <row r="103" spans="1:6" x14ac:dyDescent="0.25">
      <c r="A103" s="75">
        <v>44112</v>
      </c>
      <c r="B103" s="38">
        <v>1005</v>
      </c>
      <c r="C103" s="38" t="s">
        <v>34</v>
      </c>
      <c r="D103" s="38">
        <v>2</v>
      </c>
      <c r="E103" s="39">
        <v>181</v>
      </c>
      <c r="F103" s="41">
        <f t="shared" si="3"/>
        <v>362</v>
      </c>
    </row>
    <row r="104" spans="1:6" x14ac:dyDescent="0.25">
      <c r="A104" s="75">
        <v>44112</v>
      </c>
      <c r="B104" s="38">
        <v>1004</v>
      </c>
      <c r="C104" s="38" t="s">
        <v>6</v>
      </c>
      <c r="D104" s="38">
        <v>1</v>
      </c>
      <c r="E104" s="39">
        <v>199.5</v>
      </c>
      <c r="F104" s="41">
        <f t="shared" si="3"/>
        <v>199.5</v>
      </c>
    </row>
    <row r="105" spans="1:6" x14ac:dyDescent="0.25">
      <c r="A105" s="75">
        <v>44105</v>
      </c>
      <c r="B105" s="38">
        <v>1005</v>
      </c>
      <c r="C105" s="38" t="s">
        <v>34</v>
      </c>
      <c r="D105" s="38">
        <v>2</v>
      </c>
      <c r="E105" s="39">
        <v>181.8</v>
      </c>
      <c r="F105" s="41">
        <f t="shared" si="3"/>
        <v>363.6</v>
      </c>
    </row>
    <row r="106" spans="1:6" x14ac:dyDescent="0.25">
      <c r="A106" s="75">
        <v>44105</v>
      </c>
      <c r="B106" s="38">
        <v>1006</v>
      </c>
      <c r="C106" s="38" t="s">
        <v>35</v>
      </c>
      <c r="D106" s="38">
        <v>5</v>
      </c>
      <c r="E106" s="39">
        <v>65.599999999999994</v>
      </c>
      <c r="F106" s="41">
        <f t="shared" si="3"/>
        <v>328</v>
      </c>
    </row>
    <row r="107" spans="1:6" x14ac:dyDescent="0.25">
      <c r="A107" s="75">
        <v>44105</v>
      </c>
      <c r="B107" s="38">
        <v>1007</v>
      </c>
      <c r="C107" s="38" t="s">
        <v>37</v>
      </c>
      <c r="D107" s="38">
        <v>4</v>
      </c>
      <c r="E107" s="39">
        <v>50</v>
      </c>
      <c r="F107" s="41">
        <f t="shared" si="3"/>
        <v>200</v>
      </c>
    </row>
    <row r="108" spans="1:6" x14ac:dyDescent="0.25">
      <c r="A108" s="75">
        <v>44105</v>
      </c>
      <c r="B108" s="38">
        <v>1008</v>
      </c>
      <c r="C108" s="38" t="s">
        <v>38</v>
      </c>
      <c r="D108" s="38">
        <v>7</v>
      </c>
      <c r="E108" s="39">
        <v>55</v>
      </c>
      <c r="F108" s="41">
        <f t="shared" si="3"/>
        <v>385</v>
      </c>
    </row>
    <row r="109" spans="1:6" x14ac:dyDescent="0.25">
      <c r="A109" s="75">
        <v>44105</v>
      </c>
      <c r="B109" s="38">
        <v>1010</v>
      </c>
      <c r="C109" s="38" t="s">
        <v>41</v>
      </c>
      <c r="D109" s="38">
        <v>5</v>
      </c>
      <c r="E109" s="39">
        <v>54.9</v>
      </c>
      <c r="F109" s="41">
        <f t="shared" si="3"/>
        <v>274.5</v>
      </c>
    </row>
    <row r="110" spans="1:6" x14ac:dyDescent="0.25">
      <c r="A110" s="75">
        <v>44140</v>
      </c>
      <c r="B110" s="38">
        <v>1010</v>
      </c>
      <c r="C110" s="38" t="s">
        <v>41</v>
      </c>
      <c r="D110" s="38">
        <v>9</v>
      </c>
      <c r="E110" s="39">
        <v>55</v>
      </c>
      <c r="F110" s="41">
        <f t="shared" si="3"/>
        <v>495</v>
      </c>
    </row>
    <row r="111" spans="1:6" x14ac:dyDescent="0.25">
      <c r="A111" s="75">
        <v>44140</v>
      </c>
      <c r="B111" s="38">
        <v>1009</v>
      </c>
      <c r="C111" s="38" t="s">
        <v>40</v>
      </c>
      <c r="D111" s="38">
        <v>10</v>
      </c>
      <c r="E111" s="39">
        <v>59</v>
      </c>
      <c r="F111" s="41">
        <f t="shared" si="3"/>
        <v>590</v>
      </c>
    </row>
    <row r="112" spans="1:6" x14ac:dyDescent="0.25">
      <c r="A112" s="75">
        <v>44140</v>
      </c>
      <c r="B112" s="38">
        <v>1008</v>
      </c>
      <c r="C112" s="38" t="s">
        <v>38</v>
      </c>
      <c r="D112" s="38">
        <v>7</v>
      </c>
      <c r="E112" s="39">
        <v>50</v>
      </c>
      <c r="F112" s="41">
        <f t="shared" si="3"/>
        <v>350</v>
      </c>
    </row>
    <row r="113" spans="1:6" x14ac:dyDescent="0.25">
      <c r="A113" s="75">
        <v>44140</v>
      </c>
      <c r="B113" s="38">
        <v>1007</v>
      </c>
      <c r="C113" s="38" t="s">
        <v>37</v>
      </c>
      <c r="D113" s="38">
        <v>8</v>
      </c>
      <c r="E113" s="39">
        <v>60</v>
      </c>
      <c r="F113" s="41">
        <f t="shared" si="3"/>
        <v>480</v>
      </c>
    </row>
    <row r="114" spans="1:6" x14ac:dyDescent="0.25">
      <c r="A114" s="75">
        <v>44140</v>
      </c>
      <c r="B114" s="38">
        <v>1005</v>
      </c>
      <c r="C114" s="38" t="s">
        <v>34</v>
      </c>
      <c r="D114" s="38">
        <v>4</v>
      </c>
      <c r="E114" s="39">
        <v>181.5</v>
      </c>
      <c r="F114" s="41">
        <f t="shared" si="3"/>
        <v>726</v>
      </c>
    </row>
    <row r="115" spans="1:6" x14ac:dyDescent="0.25">
      <c r="A115" s="75">
        <v>44136</v>
      </c>
      <c r="B115" s="38">
        <v>1005</v>
      </c>
      <c r="C115" s="38" t="s">
        <v>34</v>
      </c>
      <c r="D115" s="38">
        <v>1</v>
      </c>
      <c r="E115" s="39">
        <v>181.5</v>
      </c>
      <c r="F115" s="41">
        <f t="shared" si="3"/>
        <v>181.5</v>
      </c>
    </row>
    <row r="116" spans="1:6" x14ac:dyDescent="0.25">
      <c r="A116" s="75">
        <v>44136</v>
      </c>
      <c r="B116" s="38">
        <v>1006</v>
      </c>
      <c r="C116" s="38" t="s">
        <v>35</v>
      </c>
      <c r="D116" s="38">
        <v>5</v>
      </c>
      <c r="E116" s="39">
        <v>50</v>
      </c>
      <c r="F116" s="41">
        <f t="shared" si="3"/>
        <v>250</v>
      </c>
    </row>
    <row r="117" spans="1:6" x14ac:dyDescent="0.25">
      <c r="A117" s="75">
        <v>44136</v>
      </c>
      <c r="B117" s="38">
        <v>1007</v>
      </c>
      <c r="C117" s="38" t="s">
        <v>37</v>
      </c>
      <c r="D117" s="38">
        <v>4</v>
      </c>
      <c r="E117" s="39">
        <v>50</v>
      </c>
      <c r="F117" s="41">
        <f t="shared" si="3"/>
        <v>200</v>
      </c>
    </row>
    <row r="118" spans="1:6" x14ac:dyDescent="0.25">
      <c r="A118" s="75">
        <v>44136</v>
      </c>
      <c r="B118" s="38">
        <v>1009</v>
      </c>
      <c r="C118" s="38" t="s">
        <v>40</v>
      </c>
      <c r="D118" s="38">
        <v>7</v>
      </c>
      <c r="E118" s="39">
        <v>65</v>
      </c>
      <c r="F118" s="41">
        <f t="shared" si="3"/>
        <v>455</v>
      </c>
    </row>
    <row r="119" spans="1:6" x14ac:dyDescent="0.25">
      <c r="A119" s="75">
        <v>44136</v>
      </c>
      <c r="B119" s="38">
        <v>1010</v>
      </c>
      <c r="C119" s="38" t="s">
        <v>41</v>
      </c>
      <c r="D119" s="38">
        <v>6</v>
      </c>
      <c r="E119" s="39">
        <v>50</v>
      </c>
      <c r="F119" s="41">
        <f t="shared" si="3"/>
        <v>300</v>
      </c>
    </row>
    <row r="120" spans="1:6" x14ac:dyDescent="0.25">
      <c r="A120" s="75">
        <v>44175</v>
      </c>
      <c r="B120" s="38">
        <v>1001</v>
      </c>
      <c r="C120" s="38" t="s">
        <v>9</v>
      </c>
      <c r="D120" s="38">
        <v>5</v>
      </c>
      <c r="E120" s="39">
        <v>65</v>
      </c>
      <c r="F120" s="41">
        <f t="shared" ref="F120:F151" si="4">E120*D120</f>
        <v>325</v>
      </c>
    </row>
    <row r="121" spans="1:6" x14ac:dyDescent="0.25">
      <c r="A121" s="75">
        <v>44175</v>
      </c>
      <c r="B121" s="38">
        <v>1002</v>
      </c>
      <c r="C121" s="38" t="s">
        <v>31</v>
      </c>
      <c r="D121" s="38">
        <v>7</v>
      </c>
      <c r="E121" s="39">
        <v>50</v>
      </c>
      <c r="F121" s="41">
        <f t="shared" si="4"/>
        <v>350</v>
      </c>
    </row>
    <row r="122" spans="1:6" x14ac:dyDescent="0.25">
      <c r="A122" s="75">
        <v>44175</v>
      </c>
      <c r="B122" s="38">
        <v>1003</v>
      </c>
      <c r="C122" s="38" t="s">
        <v>32</v>
      </c>
      <c r="D122" s="38">
        <v>5</v>
      </c>
      <c r="E122" s="39">
        <v>181</v>
      </c>
      <c r="F122" s="41">
        <f t="shared" si="4"/>
        <v>905</v>
      </c>
    </row>
    <row r="123" spans="1:6" x14ac:dyDescent="0.25">
      <c r="A123" s="75">
        <v>44175</v>
      </c>
      <c r="B123" s="38">
        <v>1005</v>
      </c>
      <c r="C123" s="38" t="s">
        <v>34</v>
      </c>
      <c r="D123" s="38">
        <v>5</v>
      </c>
      <c r="E123" s="39">
        <v>191</v>
      </c>
      <c r="F123" s="41">
        <f t="shared" si="4"/>
        <v>955</v>
      </c>
    </row>
    <row r="124" spans="1:6" x14ac:dyDescent="0.25">
      <c r="A124" s="75">
        <v>44175</v>
      </c>
      <c r="B124" s="38">
        <v>1010</v>
      </c>
      <c r="C124" s="38" t="s">
        <v>41</v>
      </c>
      <c r="D124" s="38">
        <v>3</v>
      </c>
      <c r="E124" s="39">
        <v>200</v>
      </c>
      <c r="F124" s="41">
        <f t="shared" si="4"/>
        <v>600</v>
      </c>
    </row>
    <row r="125" spans="1:6" x14ac:dyDescent="0.25">
      <c r="A125" s="75">
        <v>44166</v>
      </c>
      <c r="B125" s="38">
        <v>1010</v>
      </c>
      <c r="C125" s="38" t="s">
        <v>41</v>
      </c>
      <c r="D125" s="38">
        <v>1</v>
      </c>
      <c r="E125" s="39">
        <v>56</v>
      </c>
      <c r="F125" s="41">
        <f t="shared" si="4"/>
        <v>56</v>
      </c>
    </row>
    <row r="126" spans="1:6" x14ac:dyDescent="0.25">
      <c r="A126" s="75">
        <v>44166</v>
      </c>
      <c r="B126" s="38">
        <v>1009</v>
      </c>
      <c r="C126" s="38" t="s">
        <v>40</v>
      </c>
      <c r="D126" s="38">
        <v>1</v>
      </c>
      <c r="E126" s="39">
        <v>50</v>
      </c>
      <c r="F126" s="41">
        <f t="shared" si="4"/>
        <v>50</v>
      </c>
    </row>
    <row r="127" spans="1:6" x14ac:dyDescent="0.25">
      <c r="A127" s="75">
        <v>44166</v>
      </c>
      <c r="B127" s="38">
        <v>1008</v>
      </c>
      <c r="C127" s="38" t="s">
        <v>38</v>
      </c>
      <c r="D127" s="38">
        <v>1</v>
      </c>
      <c r="E127" s="39">
        <v>55</v>
      </c>
      <c r="F127" s="41">
        <f t="shared" si="4"/>
        <v>55</v>
      </c>
    </row>
    <row r="128" spans="1:6" x14ac:dyDescent="0.25">
      <c r="A128" s="75">
        <v>44166</v>
      </c>
      <c r="B128" s="38">
        <v>1007</v>
      </c>
      <c r="C128" s="38" t="s">
        <v>37</v>
      </c>
      <c r="D128" s="38">
        <v>1</v>
      </c>
      <c r="E128" s="39">
        <v>50</v>
      </c>
      <c r="F128" s="41">
        <f t="shared" si="4"/>
        <v>50</v>
      </c>
    </row>
    <row r="129" spans="1:6" x14ac:dyDescent="0.25">
      <c r="A129" s="75">
        <v>44166</v>
      </c>
      <c r="B129" s="38">
        <v>1005</v>
      </c>
      <c r="C129" s="38" t="s">
        <v>34</v>
      </c>
      <c r="D129" s="38">
        <v>1</v>
      </c>
      <c r="E129" s="39">
        <v>181</v>
      </c>
      <c r="F129" s="41">
        <f t="shared" si="4"/>
        <v>181</v>
      </c>
    </row>
    <row r="130" spans="1:6" x14ac:dyDescent="0.25">
      <c r="A130" s="75">
        <v>44214</v>
      </c>
      <c r="B130" s="38">
        <v>1001</v>
      </c>
      <c r="C130" s="38" t="s">
        <v>9</v>
      </c>
      <c r="D130" s="38">
        <v>5</v>
      </c>
      <c r="E130" s="39">
        <v>80</v>
      </c>
      <c r="F130" s="41">
        <f t="shared" si="4"/>
        <v>400</v>
      </c>
    </row>
    <row r="131" spans="1:6" x14ac:dyDescent="0.25">
      <c r="A131" s="75">
        <v>44214</v>
      </c>
      <c r="B131" s="38">
        <v>1002</v>
      </c>
      <c r="C131" s="38" t="s">
        <v>31</v>
      </c>
      <c r="D131" s="38">
        <v>3</v>
      </c>
      <c r="E131" s="39">
        <v>69</v>
      </c>
      <c r="F131" s="41">
        <f t="shared" si="4"/>
        <v>207</v>
      </c>
    </row>
    <row r="132" spans="1:6" x14ac:dyDescent="0.25">
      <c r="A132" s="75">
        <v>44214</v>
      </c>
      <c r="B132" s="38">
        <v>1003</v>
      </c>
      <c r="C132" s="38" t="s">
        <v>32</v>
      </c>
      <c r="D132" s="38">
        <v>3</v>
      </c>
      <c r="E132" s="39">
        <v>181</v>
      </c>
      <c r="F132" s="41">
        <f t="shared" si="4"/>
        <v>543</v>
      </c>
    </row>
    <row r="133" spans="1:6" x14ac:dyDescent="0.25">
      <c r="A133" s="75">
        <v>44214</v>
      </c>
      <c r="B133" s="38">
        <v>1004</v>
      </c>
      <c r="C133" s="38" t="s">
        <v>6</v>
      </c>
      <c r="D133" s="38">
        <v>2</v>
      </c>
      <c r="E133" s="39">
        <v>200</v>
      </c>
      <c r="F133" s="41">
        <f t="shared" si="4"/>
        <v>400</v>
      </c>
    </row>
    <row r="134" spans="1:6" x14ac:dyDescent="0.25">
      <c r="A134" s="75">
        <v>44214</v>
      </c>
      <c r="B134" s="38">
        <v>1005</v>
      </c>
      <c r="C134" s="38" t="s">
        <v>34</v>
      </c>
      <c r="D134" s="38">
        <v>2</v>
      </c>
      <c r="E134" s="39">
        <v>191</v>
      </c>
      <c r="F134" s="41">
        <f t="shared" si="4"/>
        <v>382</v>
      </c>
    </row>
    <row r="135" spans="1:6" x14ac:dyDescent="0.25">
      <c r="A135" s="75">
        <v>44206</v>
      </c>
      <c r="B135" s="38">
        <v>1006</v>
      </c>
      <c r="C135" s="38" t="s">
        <v>35</v>
      </c>
      <c r="D135" s="38">
        <v>2</v>
      </c>
      <c r="E135" s="39">
        <v>50</v>
      </c>
      <c r="F135" s="41">
        <f t="shared" si="4"/>
        <v>100</v>
      </c>
    </row>
    <row r="136" spans="1:6" x14ac:dyDescent="0.25">
      <c r="A136" s="75">
        <v>44206</v>
      </c>
      <c r="B136" s="38">
        <v>1005</v>
      </c>
      <c r="C136" s="38" t="s">
        <v>34</v>
      </c>
      <c r="D136" s="38">
        <v>1</v>
      </c>
      <c r="E136" s="39">
        <v>181</v>
      </c>
      <c r="F136" s="41">
        <f t="shared" si="4"/>
        <v>181</v>
      </c>
    </row>
    <row r="137" spans="1:6" x14ac:dyDescent="0.25">
      <c r="A137" s="75">
        <v>44206</v>
      </c>
      <c r="B137" s="38">
        <v>1007</v>
      </c>
      <c r="C137" s="38" t="s">
        <v>37</v>
      </c>
      <c r="D137" s="38">
        <v>3</v>
      </c>
      <c r="E137" s="39">
        <v>80</v>
      </c>
      <c r="F137" s="41">
        <f t="shared" si="4"/>
        <v>240</v>
      </c>
    </row>
    <row r="138" spans="1:6" x14ac:dyDescent="0.25">
      <c r="A138" s="75">
        <v>44206</v>
      </c>
      <c r="B138" s="38" t="e">
        <v>#N/A</v>
      </c>
      <c r="C138" s="38"/>
      <c r="D138" s="38"/>
      <c r="E138" s="39"/>
      <c r="F138" s="41">
        <f t="shared" si="4"/>
        <v>0</v>
      </c>
    </row>
    <row r="139" spans="1:6" x14ac:dyDescent="0.25">
      <c r="A139" s="75">
        <v>44206</v>
      </c>
      <c r="B139" s="38" t="e">
        <v>#N/A</v>
      </c>
      <c r="C139" s="38"/>
      <c r="D139" s="38"/>
      <c r="E139" s="39"/>
      <c r="F139" s="41">
        <f t="shared" si="4"/>
        <v>0</v>
      </c>
    </row>
    <row r="140" spans="1:6" x14ac:dyDescent="0.25">
      <c r="A140" s="75">
        <v>43831</v>
      </c>
      <c r="B140" s="38">
        <v>1007</v>
      </c>
      <c r="C140" s="38" t="s">
        <v>37</v>
      </c>
      <c r="D140" s="38">
        <v>1</v>
      </c>
      <c r="E140" s="39">
        <v>65</v>
      </c>
      <c r="F140" s="41">
        <f t="shared" si="4"/>
        <v>65</v>
      </c>
    </row>
    <row r="141" spans="1:6" x14ac:dyDescent="0.25">
      <c r="A141" s="75">
        <v>43831</v>
      </c>
      <c r="B141" s="38">
        <v>1009</v>
      </c>
      <c r="C141" s="38" t="s">
        <v>40</v>
      </c>
      <c r="D141" s="38">
        <v>1</v>
      </c>
      <c r="E141" s="39">
        <v>55</v>
      </c>
      <c r="F141" s="41">
        <f t="shared" si="4"/>
        <v>55</v>
      </c>
    </row>
    <row r="142" spans="1:6" x14ac:dyDescent="0.25">
      <c r="A142" s="75">
        <v>43831</v>
      </c>
      <c r="B142" s="38" t="e">
        <v>#N/A</v>
      </c>
      <c r="C142" s="38"/>
      <c r="D142" s="38"/>
      <c r="E142" s="39"/>
      <c r="F142" s="41">
        <f t="shared" si="4"/>
        <v>0</v>
      </c>
    </row>
    <row r="143" spans="1:6" x14ac:dyDescent="0.25">
      <c r="A143" s="75">
        <v>43831</v>
      </c>
      <c r="B143" s="38" t="e">
        <v>#N/A</v>
      </c>
      <c r="C143" s="38"/>
      <c r="D143" s="38"/>
      <c r="E143" s="39"/>
      <c r="F143" s="41">
        <f t="shared" si="4"/>
        <v>0</v>
      </c>
    </row>
    <row r="144" spans="1:6" x14ac:dyDescent="0.25">
      <c r="A144" s="75">
        <v>43831</v>
      </c>
      <c r="B144" s="38" t="e">
        <v>#N/A</v>
      </c>
      <c r="C144" s="38"/>
      <c r="D144" s="38"/>
      <c r="E144" s="39"/>
      <c r="F144" s="41">
        <f t="shared" si="4"/>
        <v>0</v>
      </c>
    </row>
    <row r="145" spans="1:6" x14ac:dyDescent="0.25">
      <c r="A145" s="75">
        <v>43831</v>
      </c>
      <c r="B145" s="38">
        <v>1005</v>
      </c>
      <c r="C145" s="38" t="s">
        <v>34</v>
      </c>
      <c r="D145" s="38">
        <v>1</v>
      </c>
      <c r="E145" s="39">
        <v>190</v>
      </c>
      <c r="F145" s="41">
        <f t="shared" si="4"/>
        <v>190</v>
      </c>
    </row>
    <row r="146" spans="1:6" x14ac:dyDescent="0.25">
      <c r="A146" s="75">
        <v>43831</v>
      </c>
      <c r="B146" s="38">
        <v>1007</v>
      </c>
      <c r="C146" s="38" t="s">
        <v>37</v>
      </c>
      <c r="D146" s="38">
        <v>1</v>
      </c>
      <c r="E146" s="39">
        <v>50</v>
      </c>
      <c r="F146" s="41">
        <f t="shared" si="4"/>
        <v>50</v>
      </c>
    </row>
    <row r="147" spans="1:6" x14ac:dyDescent="0.25">
      <c r="A147" s="75">
        <v>43831</v>
      </c>
      <c r="B147" s="38">
        <v>1010</v>
      </c>
      <c r="C147" s="38" t="s">
        <v>41</v>
      </c>
      <c r="D147" s="38">
        <v>1</v>
      </c>
      <c r="E147" s="39">
        <v>50</v>
      </c>
      <c r="F147" s="41">
        <f t="shared" si="4"/>
        <v>50</v>
      </c>
    </row>
    <row r="148" spans="1:6" x14ac:dyDescent="0.25">
      <c r="A148" s="75">
        <v>43831</v>
      </c>
      <c r="B148" s="38">
        <v>1009</v>
      </c>
      <c r="C148" s="38" t="s">
        <v>40</v>
      </c>
      <c r="D148" s="38">
        <v>1</v>
      </c>
      <c r="E148" s="39">
        <v>50</v>
      </c>
      <c r="F148" s="41">
        <f t="shared" si="4"/>
        <v>50</v>
      </c>
    </row>
    <row r="149" spans="1:6" x14ac:dyDescent="0.25">
      <c r="A149" s="75">
        <v>43831</v>
      </c>
      <c r="B149" s="38">
        <v>1008</v>
      </c>
      <c r="C149" s="38" t="s">
        <v>38</v>
      </c>
      <c r="D149" s="38">
        <v>1</v>
      </c>
      <c r="E149" s="39">
        <v>50</v>
      </c>
      <c r="F149" s="41">
        <f t="shared" si="4"/>
        <v>50</v>
      </c>
    </row>
    <row r="150" spans="1:6" x14ac:dyDescent="0.25">
      <c r="A150" s="75">
        <v>44013</v>
      </c>
      <c r="B150" s="38">
        <v>1006</v>
      </c>
      <c r="C150" s="38" t="s">
        <v>35</v>
      </c>
      <c r="D150" s="38">
        <v>1</v>
      </c>
      <c r="E150" s="39">
        <v>50</v>
      </c>
      <c r="F150" s="41">
        <f t="shared" si="4"/>
        <v>50</v>
      </c>
    </row>
    <row r="151" spans="1:6" x14ac:dyDescent="0.25">
      <c r="A151" s="75">
        <v>44013</v>
      </c>
      <c r="B151" s="38">
        <v>1005</v>
      </c>
      <c r="C151" s="38" t="s">
        <v>34</v>
      </c>
      <c r="D151" s="38">
        <v>2</v>
      </c>
      <c r="E151" s="39">
        <v>189.9</v>
      </c>
      <c r="F151" s="41">
        <f t="shared" si="4"/>
        <v>379.8</v>
      </c>
    </row>
    <row r="152" spans="1:6" x14ac:dyDescent="0.25">
      <c r="A152" s="75">
        <v>44013</v>
      </c>
      <c r="B152" s="38" t="e">
        <v>#N/A</v>
      </c>
      <c r="C152" s="38"/>
      <c r="D152" s="38"/>
      <c r="E152" s="39"/>
      <c r="F152" s="41">
        <f t="shared" ref="F152:F183" si="5">E152*D152</f>
        <v>0</v>
      </c>
    </row>
    <row r="153" spans="1:6" x14ac:dyDescent="0.25">
      <c r="A153" s="75">
        <v>44013</v>
      </c>
      <c r="B153" s="38" t="e">
        <v>#N/A</v>
      </c>
      <c r="C153" s="38"/>
      <c r="D153" s="38"/>
      <c r="E153" s="39"/>
      <c r="F153" s="41">
        <f t="shared" si="5"/>
        <v>0</v>
      </c>
    </row>
    <row r="154" spans="1:6" x14ac:dyDescent="0.25">
      <c r="A154" s="75">
        <v>44013</v>
      </c>
      <c r="B154" s="38" t="e">
        <v>#N/A</v>
      </c>
      <c r="C154" s="38"/>
      <c r="D154" s="38"/>
      <c r="E154" s="39"/>
      <c r="F154" s="41">
        <f t="shared" si="5"/>
        <v>0</v>
      </c>
    </row>
    <row r="155" spans="1:6" x14ac:dyDescent="0.25">
      <c r="A155" s="75">
        <v>44013</v>
      </c>
      <c r="B155" s="38">
        <v>1006</v>
      </c>
      <c r="C155" s="38" t="s">
        <v>35</v>
      </c>
      <c r="D155" s="38">
        <v>1</v>
      </c>
      <c r="E155" s="39">
        <v>50</v>
      </c>
      <c r="F155" s="41">
        <f t="shared" si="5"/>
        <v>50</v>
      </c>
    </row>
    <row r="156" spans="1:6" x14ac:dyDescent="0.25">
      <c r="A156" s="75">
        <v>44013</v>
      </c>
      <c r="B156" s="38">
        <v>1007</v>
      </c>
      <c r="C156" s="38" t="s">
        <v>37</v>
      </c>
      <c r="D156" s="38">
        <v>2</v>
      </c>
      <c r="E156" s="39">
        <v>50</v>
      </c>
      <c r="F156" s="41">
        <f t="shared" si="5"/>
        <v>100</v>
      </c>
    </row>
    <row r="157" spans="1:6" x14ac:dyDescent="0.25">
      <c r="A157" s="75">
        <v>44013</v>
      </c>
      <c r="B157" s="38" t="e">
        <v>#N/A</v>
      </c>
      <c r="C157" s="38"/>
      <c r="D157" s="38"/>
      <c r="E157" s="39"/>
      <c r="F157" s="41">
        <f t="shared" si="5"/>
        <v>0</v>
      </c>
    </row>
    <row r="158" spans="1:6" x14ac:dyDescent="0.25">
      <c r="A158" s="75">
        <v>44013</v>
      </c>
      <c r="B158" s="38" t="e">
        <v>#N/A</v>
      </c>
      <c r="C158" s="38"/>
      <c r="D158" s="38"/>
      <c r="E158" s="39"/>
      <c r="F158" s="41">
        <f t="shared" si="5"/>
        <v>0</v>
      </c>
    </row>
    <row r="159" spans="1:6" x14ac:dyDescent="0.25">
      <c r="A159" s="75">
        <v>44013</v>
      </c>
      <c r="B159" s="38" t="e">
        <v>#N/A</v>
      </c>
      <c r="C159" s="38"/>
      <c r="D159" s="38"/>
      <c r="E159" s="39"/>
      <c r="F159" s="41">
        <f t="shared" si="5"/>
        <v>0</v>
      </c>
    </row>
    <row r="160" spans="1:6" x14ac:dyDescent="0.25">
      <c r="A160" s="75">
        <v>44013</v>
      </c>
      <c r="B160" s="38">
        <v>1001</v>
      </c>
      <c r="C160" s="38" t="s">
        <v>9</v>
      </c>
      <c r="D160" s="38">
        <v>5</v>
      </c>
      <c r="E160" s="39">
        <v>50</v>
      </c>
      <c r="F160" s="41">
        <f t="shared" si="5"/>
        <v>250</v>
      </c>
    </row>
    <row r="161" spans="1:6" x14ac:dyDescent="0.25">
      <c r="A161" s="75">
        <v>44013</v>
      </c>
      <c r="B161" s="38">
        <v>1002</v>
      </c>
      <c r="C161" s="38" t="s">
        <v>31</v>
      </c>
      <c r="D161" s="38">
        <v>6</v>
      </c>
      <c r="E161" s="39">
        <v>45.5</v>
      </c>
      <c r="F161" s="41">
        <f t="shared" si="5"/>
        <v>273</v>
      </c>
    </row>
    <row r="162" spans="1:6" x14ac:dyDescent="0.25">
      <c r="A162" s="75">
        <v>44013</v>
      </c>
      <c r="B162" s="38">
        <v>1003</v>
      </c>
      <c r="C162" s="38" t="s">
        <v>32</v>
      </c>
      <c r="D162" s="38">
        <v>2</v>
      </c>
      <c r="E162" s="39">
        <v>181</v>
      </c>
      <c r="F162" s="41">
        <f t="shared" si="5"/>
        <v>362</v>
      </c>
    </row>
    <row r="163" spans="1:6" x14ac:dyDescent="0.25">
      <c r="A163" s="75">
        <v>44013</v>
      </c>
      <c r="B163" s="38">
        <v>1008</v>
      </c>
      <c r="C163" s="38" t="s">
        <v>38</v>
      </c>
      <c r="D163" s="38">
        <v>5</v>
      </c>
      <c r="E163" s="39">
        <v>60</v>
      </c>
      <c r="F163" s="41">
        <f t="shared" si="5"/>
        <v>300</v>
      </c>
    </row>
    <row r="164" spans="1:6" x14ac:dyDescent="0.25">
      <c r="A164" s="75">
        <v>44013</v>
      </c>
      <c r="B164" s="38">
        <v>1007</v>
      </c>
      <c r="C164" s="38" t="s">
        <v>37</v>
      </c>
      <c r="D164" s="38">
        <v>7</v>
      </c>
      <c r="E164" s="39">
        <v>55</v>
      </c>
      <c r="F164" s="41">
        <f t="shared" si="5"/>
        <v>385</v>
      </c>
    </row>
    <row r="165" spans="1:6" x14ac:dyDescent="0.25">
      <c r="A165" s="75">
        <v>44013</v>
      </c>
      <c r="B165" s="38">
        <v>1001</v>
      </c>
      <c r="C165" s="38" t="s">
        <v>9</v>
      </c>
      <c r="D165" s="38">
        <v>5</v>
      </c>
      <c r="E165" s="39">
        <v>50</v>
      </c>
      <c r="F165" s="41">
        <f t="shared" si="5"/>
        <v>250</v>
      </c>
    </row>
    <row r="166" spans="1:6" x14ac:dyDescent="0.25">
      <c r="A166" s="75">
        <v>44013</v>
      </c>
      <c r="B166" s="38">
        <v>1002</v>
      </c>
      <c r="C166" s="38" t="s">
        <v>31</v>
      </c>
      <c r="D166" s="38">
        <v>6</v>
      </c>
      <c r="E166" s="39">
        <v>45.5</v>
      </c>
      <c r="F166" s="41">
        <f t="shared" si="5"/>
        <v>273</v>
      </c>
    </row>
    <row r="167" spans="1:6" x14ac:dyDescent="0.25">
      <c r="A167" s="75">
        <v>44013</v>
      </c>
      <c r="B167" s="38">
        <v>1003</v>
      </c>
      <c r="C167" s="38" t="s">
        <v>32</v>
      </c>
      <c r="D167" s="38">
        <v>2</v>
      </c>
      <c r="E167" s="39">
        <v>181</v>
      </c>
      <c r="F167" s="41">
        <f t="shared" si="5"/>
        <v>362</v>
      </c>
    </row>
    <row r="168" spans="1:6" x14ac:dyDescent="0.25">
      <c r="A168" s="75">
        <v>44013</v>
      </c>
      <c r="B168" s="38">
        <v>1008</v>
      </c>
      <c r="C168" s="38" t="s">
        <v>38</v>
      </c>
      <c r="D168" s="38">
        <v>5</v>
      </c>
      <c r="E168" s="39">
        <v>60</v>
      </c>
      <c r="F168" s="41">
        <f t="shared" si="5"/>
        <v>300</v>
      </c>
    </row>
    <row r="169" spans="1:6" x14ac:dyDescent="0.25">
      <c r="A169" s="75">
        <v>44013</v>
      </c>
      <c r="B169" s="38"/>
      <c r="C169" s="38"/>
      <c r="D169" s="38"/>
      <c r="E169" s="39"/>
      <c r="F169" s="41">
        <f t="shared" si="5"/>
        <v>0</v>
      </c>
    </row>
    <row r="170" spans="1:6" x14ac:dyDescent="0.25">
      <c r="A170" s="75">
        <v>44013</v>
      </c>
      <c r="B170" s="38">
        <v>1001</v>
      </c>
      <c r="C170" s="38" t="s">
        <v>9</v>
      </c>
      <c r="D170" s="38">
        <v>5</v>
      </c>
      <c r="E170" s="39">
        <v>50</v>
      </c>
      <c r="F170" s="41">
        <f t="shared" si="5"/>
        <v>250</v>
      </c>
    </row>
    <row r="171" spans="1:6" x14ac:dyDescent="0.25">
      <c r="A171" s="75">
        <v>44013</v>
      </c>
      <c r="B171" s="38">
        <v>1002</v>
      </c>
      <c r="C171" s="38" t="s">
        <v>31</v>
      </c>
      <c r="D171" s="38">
        <v>4</v>
      </c>
      <c r="E171" s="39">
        <v>45</v>
      </c>
      <c r="F171" s="41">
        <f t="shared" si="5"/>
        <v>180</v>
      </c>
    </row>
    <row r="172" spans="1:6" x14ac:dyDescent="0.25">
      <c r="A172" s="75">
        <v>44013</v>
      </c>
      <c r="B172" s="38">
        <v>1003</v>
      </c>
      <c r="C172" s="38" t="s">
        <v>32</v>
      </c>
      <c r="D172" s="38">
        <v>4</v>
      </c>
      <c r="E172" s="39">
        <v>181.5</v>
      </c>
      <c r="F172" s="41">
        <f t="shared" si="5"/>
        <v>726</v>
      </c>
    </row>
    <row r="173" spans="1:6" x14ac:dyDescent="0.25">
      <c r="A173" s="75">
        <v>44013</v>
      </c>
      <c r="B173" s="38">
        <v>1010</v>
      </c>
      <c r="C173" s="38" t="s">
        <v>41</v>
      </c>
      <c r="D173" s="38">
        <v>10</v>
      </c>
      <c r="E173" s="39">
        <v>50</v>
      </c>
      <c r="F173" s="41">
        <f t="shared" si="5"/>
        <v>500</v>
      </c>
    </row>
    <row r="174" spans="1:6" x14ac:dyDescent="0.25">
      <c r="A174" s="75">
        <v>44013</v>
      </c>
      <c r="B174" s="38">
        <v>1009</v>
      </c>
      <c r="C174" s="38" t="s">
        <v>40</v>
      </c>
      <c r="D174" s="38">
        <v>9</v>
      </c>
      <c r="E174" s="39">
        <v>45.5</v>
      </c>
      <c r="F174" s="41">
        <f t="shared" si="5"/>
        <v>409.5</v>
      </c>
    </row>
    <row r="175" spans="1:6" x14ac:dyDescent="0.25">
      <c r="A175" s="75">
        <v>44224</v>
      </c>
      <c r="B175" s="38">
        <v>1005</v>
      </c>
      <c r="C175" s="38" t="s">
        <v>34</v>
      </c>
      <c r="D175" s="38">
        <v>1</v>
      </c>
      <c r="E175" s="39">
        <v>200</v>
      </c>
      <c r="F175" s="41">
        <f t="shared" si="5"/>
        <v>200</v>
      </c>
    </row>
    <row r="176" spans="1:6" x14ac:dyDescent="0.25">
      <c r="A176" s="75">
        <v>44224</v>
      </c>
      <c r="B176" s="38" t="e">
        <v>#N/A</v>
      </c>
      <c r="C176" s="38"/>
      <c r="D176" s="38"/>
      <c r="E176" s="39"/>
      <c r="F176" s="41">
        <f t="shared" si="5"/>
        <v>0</v>
      </c>
    </row>
    <row r="177" spans="1:6" x14ac:dyDescent="0.25">
      <c r="A177" s="75">
        <v>44224</v>
      </c>
      <c r="B177" s="38" t="e">
        <v>#N/A</v>
      </c>
      <c r="C177" s="38"/>
      <c r="D177" s="38"/>
      <c r="E177" s="39"/>
      <c r="F177" s="41">
        <f t="shared" si="5"/>
        <v>0</v>
      </c>
    </row>
    <row r="178" spans="1:6" x14ac:dyDescent="0.25">
      <c r="A178" s="75">
        <v>44224</v>
      </c>
      <c r="B178" s="38" t="e">
        <v>#N/A</v>
      </c>
      <c r="C178" s="38"/>
      <c r="D178" s="38"/>
      <c r="E178" s="39"/>
      <c r="F178" s="41">
        <f t="shared" si="5"/>
        <v>0</v>
      </c>
    </row>
    <row r="179" spans="1:6" x14ac:dyDescent="0.25">
      <c r="A179" s="75">
        <v>44224</v>
      </c>
      <c r="B179" s="38" t="e">
        <v>#N/A</v>
      </c>
      <c r="C179" s="38"/>
      <c r="D179" s="38"/>
      <c r="E179" s="39"/>
      <c r="F179" s="41">
        <f t="shared" si="5"/>
        <v>0</v>
      </c>
    </row>
    <row r="180" spans="1:6" x14ac:dyDescent="0.25">
      <c r="A180" s="75">
        <v>44224</v>
      </c>
      <c r="B180" s="38">
        <v>1006</v>
      </c>
      <c r="C180" s="38" t="s">
        <v>35</v>
      </c>
      <c r="D180" s="38">
        <v>1</v>
      </c>
      <c r="E180" s="39">
        <v>50</v>
      </c>
      <c r="F180" s="41">
        <f t="shared" si="5"/>
        <v>50</v>
      </c>
    </row>
    <row r="181" spans="1:6" x14ac:dyDescent="0.25">
      <c r="A181" s="75">
        <v>44224</v>
      </c>
      <c r="B181" s="38" t="e">
        <v>#N/A</v>
      </c>
      <c r="C181" s="38"/>
      <c r="D181" s="38"/>
      <c r="E181" s="39"/>
      <c r="F181" s="41">
        <f t="shared" si="5"/>
        <v>0</v>
      </c>
    </row>
    <row r="182" spans="1:6" x14ac:dyDescent="0.25">
      <c r="A182" s="75">
        <v>44224</v>
      </c>
      <c r="B182" s="38" t="e">
        <v>#N/A</v>
      </c>
      <c r="C182" s="38"/>
      <c r="D182" s="38"/>
      <c r="E182" s="39"/>
      <c r="F182" s="41">
        <f t="shared" si="5"/>
        <v>0</v>
      </c>
    </row>
    <row r="183" spans="1:6" x14ac:dyDescent="0.25">
      <c r="A183" s="75">
        <v>44224</v>
      </c>
      <c r="B183" s="38" t="e">
        <v>#N/A</v>
      </c>
      <c r="C183" s="38"/>
      <c r="D183" s="38"/>
      <c r="E183" s="39"/>
      <c r="F183" s="41">
        <f t="shared" si="5"/>
        <v>0</v>
      </c>
    </row>
    <row r="184" spans="1:6" x14ac:dyDescent="0.25">
      <c r="A184" s="75">
        <v>44224</v>
      </c>
      <c r="B184" s="38" t="e">
        <v>#N/A</v>
      </c>
      <c r="C184" s="38"/>
      <c r="D184" s="38"/>
      <c r="E184" s="39"/>
      <c r="F184" s="41">
        <f t="shared" ref="F184:F215" si="6">E184*D184</f>
        <v>0</v>
      </c>
    </row>
    <row r="185" spans="1:6" x14ac:dyDescent="0.25">
      <c r="A185" s="75">
        <v>44224</v>
      </c>
      <c r="B185" s="38">
        <v>1002</v>
      </c>
      <c r="C185" s="38" t="s">
        <v>31</v>
      </c>
      <c r="D185" s="38">
        <v>1</v>
      </c>
      <c r="E185" s="39">
        <v>50</v>
      </c>
      <c r="F185" s="41">
        <f t="shared" si="6"/>
        <v>50</v>
      </c>
    </row>
    <row r="186" spans="1:6" x14ac:dyDescent="0.25">
      <c r="A186" s="75">
        <v>44224</v>
      </c>
      <c r="B186" s="38" t="e">
        <v>#N/A</v>
      </c>
      <c r="C186" s="38"/>
      <c r="D186" s="38"/>
      <c r="E186" s="39"/>
      <c r="F186" s="41">
        <f t="shared" si="6"/>
        <v>0</v>
      </c>
    </row>
    <row r="187" spans="1:6" x14ac:dyDescent="0.25">
      <c r="A187" s="75">
        <v>44224</v>
      </c>
      <c r="B187" s="38" t="e">
        <v>#N/A</v>
      </c>
      <c r="C187" s="38"/>
      <c r="D187" s="38"/>
      <c r="E187" s="39"/>
      <c r="F187" s="41">
        <f t="shared" si="6"/>
        <v>0</v>
      </c>
    </row>
    <row r="188" spans="1:6" x14ac:dyDescent="0.25">
      <c r="A188" s="75">
        <v>44224</v>
      </c>
      <c r="B188" s="38" t="e">
        <v>#N/A</v>
      </c>
      <c r="C188" s="38"/>
      <c r="D188" s="38"/>
      <c r="E188" s="39"/>
      <c r="F188" s="41">
        <f t="shared" si="6"/>
        <v>0</v>
      </c>
    </row>
    <row r="189" spans="1:6" x14ac:dyDescent="0.25">
      <c r="A189" s="75">
        <v>44224</v>
      </c>
      <c r="B189" s="38" t="e">
        <v>#N/A</v>
      </c>
      <c r="C189" s="38"/>
      <c r="D189" s="38"/>
      <c r="E189" s="39"/>
      <c r="F189" s="41">
        <f t="shared" si="6"/>
        <v>0</v>
      </c>
    </row>
    <row r="190" spans="1:6" x14ac:dyDescent="0.25">
      <c r="A190" s="75">
        <v>44224</v>
      </c>
      <c r="B190" s="38">
        <v>1001</v>
      </c>
      <c r="C190" s="38" t="s">
        <v>9</v>
      </c>
      <c r="D190" s="38">
        <v>2</v>
      </c>
      <c r="E190" s="39">
        <v>50</v>
      </c>
      <c r="F190" s="41">
        <f t="shared" si="6"/>
        <v>100</v>
      </c>
    </row>
    <row r="191" spans="1:6" x14ac:dyDescent="0.25">
      <c r="A191" s="75">
        <v>44224</v>
      </c>
      <c r="B191" s="38" t="e">
        <v>#N/A</v>
      </c>
      <c r="C191" s="38"/>
      <c r="D191" s="38"/>
      <c r="E191" s="39"/>
      <c r="F191" s="41">
        <f t="shared" si="6"/>
        <v>0</v>
      </c>
    </row>
    <row r="192" spans="1:6" x14ac:dyDescent="0.25">
      <c r="A192" s="75">
        <v>44224</v>
      </c>
      <c r="B192" s="38" t="e">
        <v>#N/A</v>
      </c>
      <c r="C192" s="38"/>
      <c r="D192" s="38"/>
      <c r="E192" s="39"/>
      <c r="F192" s="41">
        <f t="shared" si="6"/>
        <v>0</v>
      </c>
    </row>
    <row r="193" spans="1:6" x14ac:dyDescent="0.25">
      <c r="A193" s="75">
        <v>44224</v>
      </c>
      <c r="B193" s="38" t="e">
        <v>#N/A</v>
      </c>
      <c r="C193" s="38"/>
      <c r="D193" s="38"/>
      <c r="E193" s="39"/>
      <c r="F193" s="41">
        <f t="shared" si="6"/>
        <v>0</v>
      </c>
    </row>
    <row r="194" spans="1:6" x14ac:dyDescent="0.25">
      <c r="A194" s="75">
        <v>44224</v>
      </c>
      <c r="B194" s="38" t="e">
        <v>#N/A</v>
      </c>
      <c r="C194" s="38"/>
      <c r="D194" s="38"/>
      <c r="E194" s="39"/>
      <c r="F194" s="41">
        <f t="shared" si="6"/>
        <v>0</v>
      </c>
    </row>
    <row r="195" spans="1:6" x14ac:dyDescent="0.25">
      <c r="A195" s="75">
        <v>44224</v>
      </c>
      <c r="B195" s="38">
        <v>1009</v>
      </c>
      <c r="C195" s="38" t="s">
        <v>40</v>
      </c>
      <c r="D195" s="38">
        <v>1</v>
      </c>
      <c r="E195" s="39">
        <v>50</v>
      </c>
      <c r="F195" s="41">
        <f t="shared" si="6"/>
        <v>50</v>
      </c>
    </row>
    <row r="196" spans="1:6" x14ac:dyDescent="0.25">
      <c r="A196" s="75">
        <v>44224</v>
      </c>
      <c r="B196" s="38" t="e">
        <v>#N/A</v>
      </c>
      <c r="C196" s="38"/>
      <c r="D196" s="38"/>
      <c r="E196" s="39"/>
      <c r="F196" s="41">
        <f t="shared" si="6"/>
        <v>0</v>
      </c>
    </row>
    <row r="197" spans="1:6" x14ac:dyDescent="0.25">
      <c r="A197" s="75">
        <v>44224</v>
      </c>
      <c r="B197" s="38" t="e">
        <v>#N/A</v>
      </c>
      <c r="C197" s="38"/>
      <c r="D197" s="38"/>
      <c r="E197" s="39"/>
      <c r="F197" s="41">
        <f t="shared" si="6"/>
        <v>0</v>
      </c>
    </row>
    <row r="198" spans="1:6" x14ac:dyDescent="0.25">
      <c r="A198" s="75">
        <v>44224</v>
      </c>
      <c r="B198" s="38" t="e">
        <v>#N/A</v>
      </c>
      <c r="C198" s="38"/>
      <c r="D198" s="38"/>
      <c r="E198" s="39"/>
      <c r="F198" s="41">
        <f t="shared" si="6"/>
        <v>0</v>
      </c>
    </row>
    <row r="199" spans="1:6" x14ac:dyDescent="0.25">
      <c r="A199" s="75">
        <v>44224</v>
      </c>
      <c r="B199" s="38" t="e">
        <v>#N/A</v>
      </c>
      <c r="C199" s="38"/>
      <c r="D199" s="38"/>
      <c r="E199" s="39"/>
      <c r="F199" s="41">
        <f t="shared" si="6"/>
        <v>0</v>
      </c>
    </row>
    <row r="200" spans="1:6" x14ac:dyDescent="0.25">
      <c r="A200" s="75">
        <v>44223</v>
      </c>
      <c r="B200" s="38">
        <v>1001</v>
      </c>
      <c r="C200" s="38" t="s">
        <v>9</v>
      </c>
      <c r="D200" s="38">
        <v>1</v>
      </c>
      <c r="E200" s="39">
        <v>50</v>
      </c>
      <c r="F200" s="41">
        <f t="shared" si="6"/>
        <v>50</v>
      </c>
    </row>
    <row r="201" spans="1:6" x14ac:dyDescent="0.25">
      <c r="A201" s="75">
        <v>44223</v>
      </c>
      <c r="B201" s="38">
        <v>1007</v>
      </c>
      <c r="C201" s="38" t="s">
        <v>37</v>
      </c>
      <c r="D201" s="38">
        <v>2</v>
      </c>
      <c r="E201" s="39">
        <v>7</v>
      </c>
      <c r="F201" s="41">
        <f t="shared" si="6"/>
        <v>14</v>
      </c>
    </row>
    <row r="202" spans="1:6" x14ac:dyDescent="0.25">
      <c r="A202" s="75">
        <v>44223</v>
      </c>
      <c r="B202" s="38">
        <v>1010</v>
      </c>
      <c r="C202" s="38" t="s">
        <v>41</v>
      </c>
      <c r="D202" s="38">
        <v>3</v>
      </c>
      <c r="E202" s="39">
        <v>80</v>
      </c>
      <c r="F202" s="41">
        <f t="shared" si="6"/>
        <v>240</v>
      </c>
    </row>
    <row r="203" spans="1:6" x14ac:dyDescent="0.25">
      <c r="A203" s="75">
        <v>44223</v>
      </c>
      <c r="B203" s="38" t="e">
        <v>#N/A</v>
      </c>
      <c r="C203" s="38"/>
      <c r="D203" s="38"/>
      <c r="E203" s="39"/>
      <c r="F203" s="41">
        <f t="shared" si="6"/>
        <v>0</v>
      </c>
    </row>
    <row r="204" spans="1:6" x14ac:dyDescent="0.25">
      <c r="A204" s="75">
        <v>44223</v>
      </c>
      <c r="B204" s="38" t="e">
        <v>#N/A</v>
      </c>
      <c r="C204" s="38"/>
      <c r="D204" s="38"/>
      <c r="E204" s="39"/>
      <c r="F204" s="41">
        <f t="shared" si="6"/>
        <v>0</v>
      </c>
    </row>
    <row r="205" spans="1:6" x14ac:dyDescent="0.25">
      <c r="A205" s="75">
        <v>44223</v>
      </c>
      <c r="B205" s="38">
        <v>1006</v>
      </c>
      <c r="C205" s="38" t="s">
        <v>35</v>
      </c>
      <c r="D205" s="38">
        <v>1</v>
      </c>
      <c r="E205" s="39">
        <v>50</v>
      </c>
      <c r="F205" s="41">
        <f t="shared" si="6"/>
        <v>50</v>
      </c>
    </row>
    <row r="206" spans="1:6" x14ac:dyDescent="0.25">
      <c r="A206" s="75">
        <v>44223</v>
      </c>
      <c r="B206" s="38" t="e">
        <v>#N/A</v>
      </c>
      <c r="C206" s="38"/>
      <c r="D206" s="38"/>
      <c r="E206" s="39"/>
      <c r="F206" s="41">
        <f t="shared" si="6"/>
        <v>0</v>
      </c>
    </row>
    <row r="207" spans="1:6" x14ac:dyDescent="0.25">
      <c r="A207" s="75">
        <v>44223</v>
      </c>
      <c r="B207" s="38" t="e">
        <v>#N/A</v>
      </c>
      <c r="C207" s="38"/>
      <c r="D207" s="38"/>
      <c r="E207" s="39"/>
      <c r="F207" s="41">
        <f t="shared" si="6"/>
        <v>0</v>
      </c>
    </row>
    <row r="208" spans="1:6" x14ac:dyDescent="0.25">
      <c r="A208" s="75">
        <v>44223</v>
      </c>
      <c r="B208" s="38" t="e">
        <v>#N/A</v>
      </c>
      <c r="C208" s="38"/>
      <c r="D208" s="38"/>
      <c r="E208" s="39"/>
      <c r="F208" s="41">
        <f t="shared" si="6"/>
        <v>0</v>
      </c>
    </row>
    <row r="209" spans="1:6" x14ac:dyDescent="0.25">
      <c r="A209" s="75">
        <v>44223</v>
      </c>
      <c r="B209" s="38" t="e">
        <v>#N/A</v>
      </c>
      <c r="C209" s="38"/>
      <c r="D209" s="38"/>
      <c r="E209" s="39"/>
      <c r="F209" s="41">
        <f t="shared" si="6"/>
        <v>0</v>
      </c>
    </row>
    <row r="210" spans="1:6" x14ac:dyDescent="0.25">
      <c r="A210" s="75">
        <v>44223</v>
      </c>
      <c r="B210" s="38">
        <v>1008</v>
      </c>
      <c r="C210" s="38" t="s">
        <v>38</v>
      </c>
      <c r="D210" s="38">
        <v>2</v>
      </c>
      <c r="E210" s="39">
        <v>45.5</v>
      </c>
      <c r="F210" s="41">
        <f t="shared" si="6"/>
        <v>91</v>
      </c>
    </row>
    <row r="211" spans="1:6" x14ac:dyDescent="0.25">
      <c r="A211" s="75">
        <v>44223</v>
      </c>
      <c r="B211" s="38" t="e">
        <v>#N/A</v>
      </c>
      <c r="C211" s="38"/>
      <c r="D211" s="38"/>
      <c r="E211" s="39"/>
      <c r="F211" s="41">
        <f t="shared" si="6"/>
        <v>0</v>
      </c>
    </row>
    <row r="212" spans="1:6" x14ac:dyDescent="0.25">
      <c r="A212" s="75">
        <v>44223</v>
      </c>
      <c r="B212" s="38" t="e">
        <v>#N/A</v>
      </c>
      <c r="C212" s="38"/>
      <c r="D212" s="38"/>
      <c r="E212" s="39"/>
      <c r="F212" s="41">
        <f t="shared" si="6"/>
        <v>0</v>
      </c>
    </row>
    <row r="213" spans="1:6" x14ac:dyDescent="0.25">
      <c r="A213" s="75">
        <v>44223</v>
      </c>
      <c r="B213" s="38" t="e">
        <v>#N/A</v>
      </c>
      <c r="C213" s="38"/>
      <c r="D213" s="38"/>
      <c r="E213" s="39"/>
      <c r="F213" s="41">
        <f t="shared" si="6"/>
        <v>0</v>
      </c>
    </row>
    <row r="214" spans="1:6" x14ac:dyDescent="0.25">
      <c r="A214" s="75">
        <v>44223</v>
      </c>
      <c r="B214" s="38" t="e">
        <v>#N/A</v>
      </c>
      <c r="C214" s="38"/>
      <c r="D214" s="38"/>
      <c r="E214" s="39"/>
      <c r="F214" s="41">
        <f t="shared" si="6"/>
        <v>0</v>
      </c>
    </row>
    <row r="215" spans="1:6" x14ac:dyDescent="0.25">
      <c r="A215" s="75">
        <v>44223</v>
      </c>
      <c r="B215" s="38">
        <v>1007</v>
      </c>
      <c r="C215" s="38" t="s">
        <v>37</v>
      </c>
      <c r="D215" s="38">
        <v>3</v>
      </c>
      <c r="E215" s="39">
        <v>50</v>
      </c>
      <c r="F215" s="41">
        <f t="shared" si="6"/>
        <v>150</v>
      </c>
    </row>
    <row r="216" spans="1:6" x14ac:dyDescent="0.25">
      <c r="A216" s="75">
        <v>44223</v>
      </c>
      <c r="B216" s="38" t="e">
        <v>#N/A</v>
      </c>
      <c r="C216" s="38"/>
      <c r="D216" s="38"/>
      <c r="E216" s="39"/>
      <c r="F216" s="41">
        <f t="shared" ref="F216:F229" si="7">E216*D216</f>
        <v>0</v>
      </c>
    </row>
    <row r="217" spans="1:6" x14ac:dyDescent="0.25">
      <c r="A217" s="75">
        <v>44223</v>
      </c>
      <c r="B217" s="38" t="e">
        <v>#N/A</v>
      </c>
      <c r="C217" s="38"/>
      <c r="D217" s="38"/>
      <c r="E217" s="39"/>
      <c r="F217" s="41">
        <f t="shared" si="7"/>
        <v>0</v>
      </c>
    </row>
    <row r="218" spans="1:6" x14ac:dyDescent="0.25">
      <c r="A218" s="75">
        <v>44223</v>
      </c>
      <c r="B218" s="38" t="e">
        <v>#N/A</v>
      </c>
      <c r="C218" s="38"/>
      <c r="D218" s="38"/>
      <c r="E218" s="39"/>
      <c r="F218" s="41">
        <f t="shared" si="7"/>
        <v>0</v>
      </c>
    </row>
    <row r="219" spans="1:6" x14ac:dyDescent="0.25">
      <c r="A219" s="75">
        <v>44223</v>
      </c>
      <c r="B219" s="38" t="e">
        <v>#N/A</v>
      </c>
      <c r="C219" s="38"/>
      <c r="D219" s="38"/>
      <c r="E219" s="39"/>
      <c r="F219" s="41">
        <f t="shared" si="7"/>
        <v>0</v>
      </c>
    </row>
    <row r="220" spans="1:6" x14ac:dyDescent="0.25">
      <c r="A220" s="75">
        <v>44223</v>
      </c>
      <c r="B220" s="38">
        <v>1008</v>
      </c>
      <c r="C220" s="38" t="s">
        <v>38</v>
      </c>
      <c r="D220" s="38">
        <v>1</v>
      </c>
      <c r="E220" s="39">
        <v>50</v>
      </c>
      <c r="F220" s="41">
        <f t="shared" si="7"/>
        <v>50</v>
      </c>
    </row>
    <row r="221" spans="1:6" x14ac:dyDescent="0.25">
      <c r="A221" s="75">
        <v>44223</v>
      </c>
      <c r="B221" s="38" t="e">
        <v>#N/A</v>
      </c>
      <c r="C221" s="38"/>
      <c r="D221" s="38"/>
      <c r="E221" s="39"/>
      <c r="F221" s="41">
        <f t="shared" si="7"/>
        <v>0</v>
      </c>
    </row>
    <row r="222" spans="1:6" x14ac:dyDescent="0.25">
      <c r="A222" s="75">
        <v>44223</v>
      </c>
      <c r="B222" s="38" t="e">
        <v>#N/A</v>
      </c>
      <c r="C222" s="38"/>
      <c r="D222" s="38"/>
      <c r="E222" s="39"/>
      <c r="F222" s="41">
        <f t="shared" si="7"/>
        <v>0</v>
      </c>
    </row>
    <row r="223" spans="1:6" x14ac:dyDescent="0.25">
      <c r="A223" s="75">
        <v>44223</v>
      </c>
      <c r="B223" s="38" t="e">
        <v>#N/A</v>
      </c>
      <c r="C223" s="38"/>
      <c r="D223" s="38"/>
      <c r="E223" s="39"/>
      <c r="F223" s="41">
        <f t="shared" si="7"/>
        <v>0</v>
      </c>
    </row>
    <row r="224" spans="1:6" x14ac:dyDescent="0.25">
      <c r="A224" s="75">
        <v>44223</v>
      </c>
      <c r="B224" s="38" t="e">
        <v>#N/A</v>
      </c>
      <c r="C224" s="38"/>
      <c r="D224" s="38"/>
      <c r="E224" s="39"/>
      <c r="F224" s="41">
        <f t="shared" si="7"/>
        <v>0</v>
      </c>
    </row>
    <row r="225" spans="1:6" x14ac:dyDescent="0.25">
      <c r="A225" s="75">
        <v>44223</v>
      </c>
      <c r="B225" s="38">
        <v>1005</v>
      </c>
      <c r="C225" s="38" t="s">
        <v>34</v>
      </c>
      <c r="D225" s="38">
        <v>1</v>
      </c>
      <c r="E225" s="39">
        <v>50</v>
      </c>
      <c r="F225" s="41">
        <f t="shared" si="7"/>
        <v>50</v>
      </c>
    </row>
    <row r="226" spans="1:6" x14ac:dyDescent="0.25">
      <c r="A226" s="75">
        <v>44223</v>
      </c>
      <c r="B226" s="38">
        <v>1006</v>
      </c>
      <c r="C226" s="38" t="s">
        <v>35</v>
      </c>
      <c r="D226" s="38">
        <v>1</v>
      </c>
      <c r="E226" s="39">
        <v>50</v>
      </c>
      <c r="F226" s="41">
        <f t="shared" si="7"/>
        <v>50</v>
      </c>
    </row>
    <row r="227" spans="1:6" x14ac:dyDescent="0.25">
      <c r="A227" s="75">
        <v>44223</v>
      </c>
      <c r="B227" s="38" t="e">
        <v>#N/A</v>
      </c>
      <c r="C227" s="38"/>
      <c r="D227" s="38"/>
      <c r="E227" s="39"/>
      <c r="F227" s="41">
        <f t="shared" si="7"/>
        <v>0</v>
      </c>
    </row>
    <row r="228" spans="1:6" x14ac:dyDescent="0.25">
      <c r="A228" s="75">
        <v>44223</v>
      </c>
      <c r="B228" s="38" t="e">
        <v>#N/A</v>
      </c>
      <c r="C228" s="38"/>
      <c r="D228" s="38"/>
      <c r="E228" s="39"/>
      <c r="F228" s="41">
        <f t="shared" si="7"/>
        <v>0</v>
      </c>
    </row>
    <row r="229" spans="1:6" x14ac:dyDescent="0.25">
      <c r="A229" s="75">
        <v>44223</v>
      </c>
      <c r="B229" s="38" t="e">
        <v>#N/A</v>
      </c>
      <c r="C229" s="38"/>
      <c r="D229" s="38"/>
      <c r="E229" s="39"/>
      <c r="F229" s="41">
        <f t="shared" si="7"/>
        <v>0</v>
      </c>
    </row>
    <row r="230" spans="1:6" x14ac:dyDescent="0.25">
      <c r="A230" s="75">
        <v>44223</v>
      </c>
      <c r="B230" s="38">
        <v>1010</v>
      </c>
      <c r="C230" s="38" t="s">
        <v>41</v>
      </c>
      <c r="D230" s="38">
        <v>2</v>
      </c>
      <c r="E230" s="39">
        <v>50</v>
      </c>
      <c r="F230" s="41">
        <f t="shared" ref="F230:F239" si="8">E230*D230</f>
        <v>100</v>
      </c>
    </row>
    <row r="231" spans="1:6" x14ac:dyDescent="0.25">
      <c r="A231" s="75">
        <v>44223</v>
      </c>
      <c r="B231" s="38" t="e">
        <v>#N/A</v>
      </c>
      <c r="C231" s="38"/>
      <c r="D231" s="38"/>
      <c r="E231" s="39"/>
      <c r="F231" s="41">
        <f t="shared" si="8"/>
        <v>0</v>
      </c>
    </row>
    <row r="232" spans="1:6" x14ac:dyDescent="0.25">
      <c r="A232" s="75">
        <v>44223</v>
      </c>
      <c r="B232" s="38" t="e">
        <v>#N/A</v>
      </c>
      <c r="C232" s="38"/>
      <c r="D232" s="38"/>
      <c r="E232" s="39"/>
      <c r="F232" s="41">
        <f t="shared" si="8"/>
        <v>0</v>
      </c>
    </row>
    <row r="233" spans="1:6" x14ac:dyDescent="0.25">
      <c r="A233" s="75">
        <v>44223</v>
      </c>
      <c r="B233" s="38" t="e">
        <v>#N/A</v>
      </c>
      <c r="C233" s="38"/>
      <c r="D233" s="38"/>
      <c r="E233" s="39"/>
      <c r="F233" s="41">
        <f t="shared" si="8"/>
        <v>0</v>
      </c>
    </row>
    <row r="234" spans="1:6" x14ac:dyDescent="0.25">
      <c r="A234" s="75">
        <v>44223</v>
      </c>
      <c r="B234" s="38" t="e">
        <v>#N/A</v>
      </c>
      <c r="C234" s="38"/>
      <c r="D234" s="38"/>
      <c r="E234" s="39"/>
      <c r="F234" s="41">
        <f t="shared" si="8"/>
        <v>0</v>
      </c>
    </row>
    <row r="235" spans="1:6" x14ac:dyDescent="0.25">
      <c r="A235" s="75">
        <v>44222</v>
      </c>
      <c r="B235" s="38">
        <v>1008</v>
      </c>
      <c r="C235" s="38" t="s">
        <v>38</v>
      </c>
      <c r="D235" s="38">
        <v>1</v>
      </c>
      <c r="E235" s="39">
        <v>50</v>
      </c>
      <c r="F235" s="41">
        <f t="shared" si="8"/>
        <v>50</v>
      </c>
    </row>
    <row r="236" spans="1:6" x14ac:dyDescent="0.25">
      <c r="A236" s="75">
        <v>44222</v>
      </c>
      <c r="B236" s="38">
        <v>1004</v>
      </c>
      <c r="C236" s="38" t="s">
        <v>6</v>
      </c>
      <c r="D236" s="38">
        <v>1</v>
      </c>
      <c r="E236" s="39">
        <v>180</v>
      </c>
      <c r="F236" s="41">
        <f t="shared" si="8"/>
        <v>180</v>
      </c>
    </row>
    <row r="237" spans="1:6" x14ac:dyDescent="0.25">
      <c r="A237" s="75">
        <v>44222</v>
      </c>
      <c r="B237" s="38" t="e">
        <v>#N/A</v>
      </c>
      <c r="C237" s="38"/>
      <c r="D237" s="38"/>
      <c r="E237" s="39"/>
      <c r="F237" s="41">
        <f t="shared" si="8"/>
        <v>0</v>
      </c>
    </row>
    <row r="238" spans="1:6" x14ac:dyDescent="0.25">
      <c r="A238" s="75">
        <v>44222</v>
      </c>
      <c r="B238" s="38" t="e">
        <v>#N/A</v>
      </c>
      <c r="C238" s="38"/>
      <c r="D238" s="38"/>
      <c r="E238" s="39"/>
      <c r="F238" s="41">
        <f t="shared" si="8"/>
        <v>0</v>
      </c>
    </row>
    <row r="239" spans="1:6" x14ac:dyDescent="0.25">
      <c r="A239" s="75">
        <v>44222</v>
      </c>
      <c r="B239" s="38" t="e">
        <v>#N/A</v>
      </c>
      <c r="C239" s="38"/>
      <c r="D239" s="38"/>
      <c r="E239" s="39"/>
      <c r="F239" s="41">
        <f t="shared" si="8"/>
        <v>0</v>
      </c>
    </row>
    <row r="240" spans="1:6" x14ac:dyDescent="0.25">
      <c r="A240" s="75">
        <v>44222</v>
      </c>
      <c r="B240" s="38">
        <v>1007</v>
      </c>
      <c r="C240" s="38" t="s">
        <v>37</v>
      </c>
      <c r="D240" s="38">
        <v>1</v>
      </c>
      <c r="E240" s="39">
        <v>50</v>
      </c>
      <c r="F240" s="41">
        <f t="shared" ref="F240:F249" si="9">E240*D240</f>
        <v>50</v>
      </c>
    </row>
    <row r="241" spans="1:6" x14ac:dyDescent="0.25">
      <c r="A241" s="75">
        <v>44222</v>
      </c>
      <c r="B241" s="38" t="e">
        <v>#N/A</v>
      </c>
      <c r="C241" s="38"/>
      <c r="D241" s="38"/>
      <c r="E241" s="39"/>
      <c r="F241" s="41">
        <f t="shared" si="9"/>
        <v>0</v>
      </c>
    </row>
    <row r="242" spans="1:6" x14ac:dyDescent="0.25">
      <c r="A242" s="75">
        <v>44222</v>
      </c>
      <c r="B242" s="38" t="e">
        <v>#N/A</v>
      </c>
      <c r="C242" s="38"/>
      <c r="D242" s="38"/>
      <c r="E242" s="39"/>
      <c r="F242" s="41">
        <f t="shared" si="9"/>
        <v>0</v>
      </c>
    </row>
    <row r="243" spans="1:6" x14ac:dyDescent="0.25">
      <c r="A243" s="75">
        <v>44222</v>
      </c>
      <c r="B243" s="38" t="e">
        <v>#N/A</v>
      </c>
      <c r="C243" s="38"/>
      <c r="D243" s="38"/>
      <c r="E243" s="39"/>
      <c r="F243" s="41">
        <f t="shared" si="9"/>
        <v>0</v>
      </c>
    </row>
    <row r="244" spans="1:6" x14ac:dyDescent="0.25">
      <c r="A244" s="75">
        <v>44222</v>
      </c>
      <c r="B244" s="38" t="e">
        <v>#N/A</v>
      </c>
      <c r="C244" s="38"/>
      <c r="D244" s="38"/>
      <c r="E244" s="39"/>
      <c r="F244" s="41">
        <f t="shared" si="9"/>
        <v>0</v>
      </c>
    </row>
    <row r="245" spans="1:6" x14ac:dyDescent="0.25">
      <c r="A245" s="75">
        <v>44222</v>
      </c>
      <c r="B245" s="38">
        <v>1006</v>
      </c>
      <c r="C245" s="38" t="s">
        <v>35</v>
      </c>
      <c r="D245" s="38">
        <v>50</v>
      </c>
      <c r="E245" s="39">
        <v>1</v>
      </c>
      <c r="F245" s="41">
        <f t="shared" si="9"/>
        <v>50</v>
      </c>
    </row>
    <row r="246" spans="1:6" x14ac:dyDescent="0.25">
      <c r="A246" s="75">
        <v>44222</v>
      </c>
      <c r="B246" s="38" t="e">
        <v>#N/A</v>
      </c>
      <c r="C246" s="38"/>
      <c r="D246" s="38"/>
      <c r="E246" s="39"/>
      <c r="F246" s="41">
        <f t="shared" si="9"/>
        <v>0</v>
      </c>
    </row>
    <row r="247" spans="1:6" x14ac:dyDescent="0.25">
      <c r="A247" s="75">
        <v>44222</v>
      </c>
      <c r="B247" s="38" t="e">
        <v>#N/A</v>
      </c>
      <c r="C247" s="38"/>
      <c r="D247" s="38"/>
      <c r="E247" s="39"/>
      <c r="F247" s="41">
        <f t="shared" si="9"/>
        <v>0</v>
      </c>
    </row>
    <row r="248" spans="1:6" x14ac:dyDescent="0.25">
      <c r="A248" s="75">
        <v>44222</v>
      </c>
      <c r="B248" s="38" t="e">
        <v>#N/A</v>
      </c>
      <c r="C248" s="38"/>
      <c r="D248" s="38"/>
      <c r="E248" s="39"/>
      <c r="F248" s="41">
        <f t="shared" si="9"/>
        <v>0</v>
      </c>
    </row>
    <row r="249" spans="1:6" x14ac:dyDescent="0.25">
      <c r="A249" s="75">
        <v>44222</v>
      </c>
      <c r="B249" s="38" t="e">
        <v>#N/A</v>
      </c>
      <c r="C249" s="38"/>
      <c r="D249" s="38"/>
      <c r="E249" s="39"/>
      <c r="F249" s="41">
        <f t="shared" si="9"/>
        <v>0</v>
      </c>
    </row>
    <row r="250" spans="1:6" x14ac:dyDescent="0.25">
      <c r="A250" s="75">
        <v>44222</v>
      </c>
      <c r="B250" s="38">
        <v>1002</v>
      </c>
      <c r="C250" s="38" t="s">
        <v>31</v>
      </c>
      <c r="D250" s="38">
        <v>2</v>
      </c>
      <c r="E250" s="39">
        <v>49.5</v>
      </c>
      <c r="F250" s="41">
        <f t="shared" ref="F250:F274" si="10">E250*D250</f>
        <v>99</v>
      </c>
    </row>
    <row r="251" spans="1:6" x14ac:dyDescent="0.25">
      <c r="A251" s="75">
        <v>44222</v>
      </c>
      <c r="B251" s="38" t="e">
        <v>#N/A</v>
      </c>
      <c r="C251" s="38"/>
      <c r="D251" s="38"/>
      <c r="E251" s="39"/>
      <c r="F251" s="41">
        <f t="shared" si="10"/>
        <v>0</v>
      </c>
    </row>
    <row r="252" spans="1:6" x14ac:dyDescent="0.25">
      <c r="A252" s="75">
        <v>44222</v>
      </c>
      <c r="B252" s="38" t="e">
        <v>#N/A</v>
      </c>
      <c r="C252" s="38"/>
      <c r="D252" s="38"/>
      <c r="E252" s="39"/>
      <c r="F252" s="41">
        <f t="shared" si="10"/>
        <v>0</v>
      </c>
    </row>
    <row r="253" spans="1:6" x14ac:dyDescent="0.25">
      <c r="A253" s="75">
        <v>44222</v>
      </c>
      <c r="B253" s="38" t="e">
        <v>#N/A</v>
      </c>
      <c r="C253" s="38"/>
      <c r="D253" s="38"/>
      <c r="E253" s="39"/>
      <c r="F253" s="41">
        <f t="shared" si="10"/>
        <v>0</v>
      </c>
    </row>
    <row r="254" spans="1:6" x14ac:dyDescent="0.25">
      <c r="A254" s="75">
        <v>44222</v>
      </c>
      <c r="B254" s="38" t="e">
        <v>#N/A</v>
      </c>
      <c r="C254" s="38"/>
      <c r="D254" s="38"/>
      <c r="E254" s="39"/>
      <c r="F254" s="41">
        <f t="shared" si="10"/>
        <v>0</v>
      </c>
    </row>
    <row r="255" spans="1:6" x14ac:dyDescent="0.25">
      <c r="A255" s="75">
        <v>44222</v>
      </c>
      <c r="B255" s="38">
        <v>1009</v>
      </c>
      <c r="C255" s="38" t="s">
        <v>40</v>
      </c>
      <c r="D255" s="38">
        <v>1</v>
      </c>
      <c r="E255" s="39">
        <v>49.5</v>
      </c>
      <c r="F255" s="41">
        <f t="shared" si="10"/>
        <v>49.5</v>
      </c>
    </row>
    <row r="256" spans="1:6" x14ac:dyDescent="0.25">
      <c r="A256" s="75">
        <v>44222</v>
      </c>
      <c r="B256" s="38" t="e">
        <v>#N/A</v>
      </c>
      <c r="C256" s="38"/>
      <c r="D256" s="38"/>
      <c r="E256" s="39"/>
      <c r="F256" s="41">
        <f t="shared" si="10"/>
        <v>0</v>
      </c>
    </row>
    <row r="257" spans="1:6" x14ac:dyDescent="0.25">
      <c r="A257" s="75">
        <v>44222</v>
      </c>
      <c r="B257" s="38" t="e">
        <v>#N/A</v>
      </c>
      <c r="C257" s="38"/>
      <c r="D257" s="38"/>
      <c r="E257" s="39"/>
      <c r="F257" s="41">
        <f t="shared" si="10"/>
        <v>0</v>
      </c>
    </row>
    <row r="258" spans="1:6" x14ac:dyDescent="0.25">
      <c r="A258" s="75">
        <v>44222</v>
      </c>
      <c r="B258" s="38" t="e">
        <v>#N/A</v>
      </c>
      <c r="C258" s="38"/>
      <c r="D258" s="38"/>
      <c r="E258" s="39"/>
      <c r="F258" s="41">
        <f t="shared" si="10"/>
        <v>0</v>
      </c>
    </row>
    <row r="259" spans="1:6" x14ac:dyDescent="0.25">
      <c r="A259" s="75">
        <v>44222</v>
      </c>
      <c r="B259" s="38" t="e">
        <v>#N/A</v>
      </c>
      <c r="C259" s="38"/>
      <c r="D259" s="38"/>
      <c r="E259" s="39"/>
      <c r="F259" s="41">
        <f t="shared" si="10"/>
        <v>0</v>
      </c>
    </row>
    <row r="260" spans="1:6" x14ac:dyDescent="0.25">
      <c r="A260" s="75">
        <v>44222</v>
      </c>
      <c r="B260" s="38">
        <v>1007</v>
      </c>
      <c r="C260" s="38" t="s">
        <v>37</v>
      </c>
      <c r="D260" s="38">
        <v>3</v>
      </c>
      <c r="E260" s="39">
        <v>55.5</v>
      </c>
      <c r="F260" s="41">
        <f t="shared" si="10"/>
        <v>166.5</v>
      </c>
    </row>
    <row r="261" spans="1:6" x14ac:dyDescent="0.25">
      <c r="A261" s="75">
        <v>44222</v>
      </c>
      <c r="B261" s="38" t="e">
        <v>#N/A</v>
      </c>
      <c r="C261" s="38"/>
      <c r="D261" s="38"/>
      <c r="E261" s="39"/>
      <c r="F261" s="41">
        <f t="shared" si="10"/>
        <v>0</v>
      </c>
    </row>
    <row r="262" spans="1:6" x14ac:dyDescent="0.25">
      <c r="A262" s="75">
        <v>44222</v>
      </c>
      <c r="B262" s="38" t="e">
        <v>#N/A</v>
      </c>
      <c r="C262" s="38"/>
      <c r="D262" s="38"/>
      <c r="E262" s="39"/>
      <c r="F262" s="41">
        <f t="shared" si="10"/>
        <v>0</v>
      </c>
    </row>
    <row r="263" spans="1:6" x14ac:dyDescent="0.25">
      <c r="A263" s="75">
        <v>44222</v>
      </c>
      <c r="B263" s="38" t="e">
        <v>#N/A</v>
      </c>
      <c r="C263" s="38"/>
      <c r="D263" s="38"/>
      <c r="E263" s="39"/>
      <c r="F263" s="41">
        <f t="shared" si="10"/>
        <v>0</v>
      </c>
    </row>
    <row r="264" spans="1:6" x14ac:dyDescent="0.25">
      <c r="A264" s="75">
        <v>44222</v>
      </c>
      <c r="B264" s="38" t="e">
        <v>#N/A</v>
      </c>
      <c r="C264" s="38"/>
      <c r="D264" s="38"/>
      <c r="E264" s="39"/>
      <c r="F264" s="41">
        <f t="shared" si="10"/>
        <v>0</v>
      </c>
    </row>
    <row r="265" spans="1:6" x14ac:dyDescent="0.25">
      <c r="A265" s="75">
        <v>44222</v>
      </c>
      <c r="B265" s="38">
        <v>1010</v>
      </c>
      <c r="C265" s="38" t="s">
        <v>41</v>
      </c>
      <c r="D265" s="38">
        <v>1</v>
      </c>
      <c r="E265" s="39">
        <v>50</v>
      </c>
      <c r="F265" s="41">
        <f t="shared" si="10"/>
        <v>50</v>
      </c>
    </row>
    <row r="266" spans="1:6" x14ac:dyDescent="0.25">
      <c r="A266" s="75">
        <v>44222</v>
      </c>
      <c r="B266" s="38" t="e">
        <v>#N/A</v>
      </c>
      <c r="C266" s="38"/>
      <c r="D266" s="38"/>
      <c r="E266" s="39"/>
      <c r="F266" s="41">
        <f t="shared" si="10"/>
        <v>0</v>
      </c>
    </row>
    <row r="267" spans="1:6" x14ac:dyDescent="0.25">
      <c r="A267" s="75">
        <v>44222</v>
      </c>
      <c r="B267" s="38" t="e">
        <v>#N/A</v>
      </c>
      <c r="C267" s="38"/>
      <c r="D267" s="38"/>
      <c r="E267" s="39"/>
      <c r="F267" s="41">
        <f t="shared" si="10"/>
        <v>0</v>
      </c>
    </row>
    <row r="268" spans="1:6" x14ac:dyDescent="0.25">
      <c r="A268" s="75">
        <v>44222</v>
      </c>
      <c r="B268" s="38" t="e">
        <v>#N/A</v>
      </c>
      <c r="C268" s="38"/>
      <c r="D268" s="38"/>
      <c r="E268" s="39"/>
      <c r="F268" s="41">
        <f t="shared" si="10"/>
        <v>0</v>
      </c>
    </row>
    <row r="269" spans="1:6" x14ac:dyDescent="0.25">
      <c r="A269" s="75">
        <v>44222</v>
      </c>
      <c r="B269" s="38" t="e">
        <v>#N/A</v>
      </c>
      <c r="C269" s="38"/>
      <c r="D269" s="38"/>
      <c r="E269" s="39"/>
      <c r="F269" s="41">
        <f t="shared" si="10"/>
        <v>0</v>
      </c>
    </row>
    <row r="270" spans="1:6" x14ac:dyDescent="0.25">
      <c r="A270" s="75">
        <v>44222</v>
      </c>
      <c r="B270" s="38">
        <v>1009</v>
      </c>
      <c r="C270" s="38" t="s">
        <v>40</v>
      </c>
      <c r="D270" s="38">
        <v>1</v>
      </c>
      <c r="E270" s="39">
        <v>50</v>
      </c>
      <c r="F270" s="41">
        <f t="shared" si="10"/>
        <v>50</v>
      </c>
    </row>
    <row r="271" spans="1:6" x14ac:dyDescent="0.25">
      <c r="A271" s="75">
        <v>44222</v>
      </c>
      <c r="B271" s="38" t="e">
        <v>#N/A</v>
      </c>
      <c r="C271" s="38"/>
      <c r="D271" s="38"/>
      <c r="E271" s="39"/>
      <c r="F271" s="41">
        <f t="shared" si="10"/>
        <v>0</v>
      </c>
    </row>
    <row r="272" spans="1:6" x14ac:dyDescent="0.25">
      <c r="A272" s="75">
        <v>44222</v>
      </c>
      <c r="B272" s="38" t="e">
        <v>#N/A</v>
      </c>
      <c r="C272" s="38"/>
      <c r="D272" s="38"/>
      <c r="E272" s="39"/>
      <c r="F272" s="41">
        <f t="shared" si="10"/>
        <v>0</v>
      </c>
    </row>
    <row r="273" spans="1:6" x14ac:dyDescent="0.25">
      <c r="A273" s="75">
        <v>44222</v>
      </c>
      <c r="B273" s="38" t="e">
        <v>#N/A</v>
      </c>
      <c r="C273" s="38"/>
      <c r="D273" s="38"/>
      <c r="E273" s="39"/>
      <c r="F273" s="41">
        <f t="shared" si="10"/>
        <v>0</v>
      </c>
    </row>
    <row r="274" spans="1:6" x14ac:dyDescent="0.25">
      <c r="A274" s="75">
        <v>44222</v>
      </c>
      <c r="B274" s="38" t="e">
        <v>#N/A</v>
      </c>
      <c r="C274" s="38"/>
      <c r="D274" s="38"/>
      <c r="E274" s="39"/>
      <c r="F274" s="41">
        <f t="shared" si="10"/>
        <v>0</v>
      </c>
    </row>
    <row r="275" spans="1:6" x14ac:dyDescent="0.25">
      <c r="A275" s="36">
        <v>44222</v>
      </c>
      <c r="B275" s="38">
        <v>1003</v>
      </c>
      <c r="C275" s="38" t="s">
        <v>32</v>
      </c>
      <c r="D275" s="38">
        <v>1</v>
      </c>
      <c r="E275" s="39">
        <v>199.5</v>
      </c>
      <c r="F275" s="41">
        <f t="shared" ref="F275:F306" si="11">E275*D275</f>
        <v>199.5</v>
      </c>
    </row>
    <row r="276" spans="1:6" x14ac:dyDescent="0.25">
      <c r="A276" s="36">
        <v>44222</v>
      </c>
      <c r="B276" s="38" t="e">
        <v>#N/A</v>
      </c>
      <c r="C276" s="38"/>
      <c r="D276" s="38"/>
      <c r="E276" s="39"/>
      <c r="F276" s="41">
        <f t="shared" si="11"/>
        <v>0</v>
      </c>
    </row>
    <row r="277" spans="1:6" x14ac:dyDescent="0.25">
      <c r="A277" s="36">
        <v>44222</v>
      </c>
      <c r="B277" s="38" t="e">
        <v>#N/A</v>
      </c>
      <c r="C277" s="38"/>
      <c r="D277" s="38"/>
      <c r="E277" s="39"/>
      <c r="F277" s="41">
        <f t="shared" si="11"/>
        <v>0</v>
      </c>
    </row>
    <row r="278" spans="1:6" x14ac:dyDescent="0.25">
      <c r="A278" s="36">
        <v>44222</v>
      </c>
      <c r="B278" s="38" t="e">
        <v>#N/A</v>
      </c>
      <c r="C278" s="38"/>
      <c r="D278" s="38"/>
      <c r="E278" s="39"/>
      <c r="F278" s="41">
        <f t="shared" si="11"/>
        <v>0</v>
      </c>
    </row>
    <row r="279" spans="1:6" x14ac:dyDescent="0.25">
      <c r="A279" s="36">
        <v>44222</v>
      </c>
      <c r="B279" s="38" t="e">
        <v>#N/A</v>
      </c>
      <c r="C279" s="38"/>
      <c r="D279" s="38"/>
      <c r="E279" s="39"/>
      <c r="F279" s="41">
        <f t="shared" si="11"/>
        <v>0</v>
      </c>
    </row>
    <row r="280" spans="1:6" x14ac:dyDescent="0.25">
      <c r="A280" s="36">
        <v>44222</v>
      </c>
      <c r="B280" s="38">
        <v>1005</v>
      </c>
      <c r="C280" s="38" t="s">
        <v>34</v>
      </c>
      <c r="D280" s="38">
        <v>1</v>
      </c>
      <c r="E280" s="39">
        <v>169.5</v>
      </c>
      <c r="F280" s="41">
        <f t="shared" si="11"/>
        <v>169.5</v>
      </c>
    </row>
    <row r="281" spans="1:6" x14ac:dyDescent="0.25">
      <c r="A281" s="36">
        <v>44222</v>
      </c>
      <c r="B281" s="38" t="e">
        <v>#N/A</v>
      </c>
      <c r="C281" s="38"/>
      <c r="D281" s="38"/>
      <c r="E281" s="39"/>
      <c r="F281" s="41">
        <f t="shared" si="11"/>
        <v>0</v>
      </c>
    </row>
    <row r="282" spans="1:6" x14ac:dyDescent="0.25">
      <c r="A282" s="36">
        <v>44222</v>
      </c>
      <c r="B282" s="38" t="e">
        <v>#N/A</v>
      </c>
      <c r="C282" s="38"/>
      <c r="D282" s="38"/>
      <c r="E282" s="39"/>
      <c r="F282" s="41">
        <f t="shared" si="11"/>
        <v>0</v>
      </c>
    </row>
    <row r="283" spans="1:6" x14ac:dyDescent="0.25">
      <c r="A283" s="36">
        <v>44222</v>
      </c>
      <c r="B283" s="38" t="e">
        <v>#N/A</v>
      </c>
      <c r="C283" s="38"/>
      <c r="D283" s="38"/>
      <c r="E283" s="39"/>
      <c r="F283" s="41">
        <f t="shared" si="11"/>
        <v>0</v>
      </c>
    </row>
    <row r="284" spans="1:6" x14ac:dyDescent="0.25">
      <c r="A284" s="36">
        <v>44222</v>
      </c>
      <c r="B284" s="38" t="e">
        <v>#N/A</v>
      </c>
      <c r="C284" s="38"/>
      <c r="D284" s="38"/>
      <c r="E284" s="39"/>
      <c r="F284" s="41">
        <f t="shared" si="11"/>
        <v>0</v>
      </c>
    </row>
    <row r="285" spans="1:6" x14ac:dyDescent="0.25">
      <c r="A285" s="36">
        <v>44222</v>
      </c>
      <c r="B285" s="38">
        <v>1010</v>
      </c>
      <c r="C285" s="38" t="s">
        <v>41</v>
      </c>
      <c r="D285" s="38">
        <v>2</v>
      </c>
      <c r="E285" s="39">
        <v>49.9</v>
      </c>
      <c r="F285" s="41">
        <f t="shared" si="11"/>
        <v>99.8</v>
      </c>
    </row>
    <row r="286" spans="1:6" x14ac:dyDescent="0.25">
      <c r="A286" s="36">
        <v>44222</v>
      </c>
      <c r="B286" s="38" t="e">
        <v>#N/A</v>
      </c>
      <c r="C286" s="38"/>
      <c r="D286" s="38"/>
      <c r="E286" s="39"/>
      <c r="F286" s="41">
        <f t="shared" si="11"/>
        <v>0</v>
      </c>
    </row>
    <row r="287" spans="1:6" x14ac:dyDescent="0.25">
      <c r="A287" s="36">
        <v>44222</v>
      </c>
      <c r="B287" s="38" t="e">
        <v>#N/A</v>
      </c>
      <c r="C287" s="38"/>
      <c r="D287" s="38"/>
      <c r="E287" s="39"/>
      <c r="F287" s="41">
        <f t="shared" si="11"/>
        <v>0</v>
      </c>
    </row>
    <row r="288" spans="1:6" x14ac:dyDescent="0.25">
      <c r="A288" s="36">
        <v>44222</v>
      </c>
      <c r="B288" s="38" t="e">
        <v>#N/A</v>
      </c>
      <c r="C288" s="38"/>
      <c r="D288" s="38"/>
      <c r="E288" s="39"/>
      <c r="F288" s="41">
        <f t="shared" si="11"/>
        <v>0</v>
      </c>
    </row>
    <row r="289" spans="1:6" x14ac:dyDescent="0.25">
      <c r="A289" s="36">
        <v>44222</v>
      </c>
      <c r="B289" s="38" t="e">
        <v>#N/A</v>
      </c>
      <c r="C289" s="38"/>
      <c r="D289" s="38"/>
      <c r="E289" s="39"/>
      <c r="F289" s="41">
        <f t="shared" si="11"/>
        <v>0</v>
      </c>
    </row>
    <row r="290" spans="1:6" x14ac:dyDescent="0.25">
      <c r="A290" s="36">
        <v>44222</v>
      </c>
      <c r="B290" s="38">
        <v>1002</v>
      </c>
      <c r="C290" s="38" t="s">
        <v>31</v>
      </c>
      <c r="D290" s="38">
        <v>1</v>
      </c>
      <c r="E290" s="39">
        <v>60</v>
      </c>
      <c r="F290" s="41">
        <f t="shared" si="11"/>
        <v>60</v>
      </c>
    </row>
    <row r="291" spans="1:6" x14ac:dyDescent="0.25">
      <c r="A291" s="36">
        <v>44222</v>
      </c>
      <c r="B291" s="38" t="e">
        <v>#N/A</v>
      </c>
      <c r="C291" s="38"/>
      <c r="D291" s="38"/>
      <c r="E291" s="39"/>
      <c r="F291" s="41">
        <f t="shared" si="11"/>
        <v>0</v>
      </c>
    </row>
    <row r="292" spans="1:6" x14ac:dyDescent="0.25">
      <c r="A292" s="36">
        <v>44222</v>
      </c>
      <c r="B292" s="38" t="e">
        <v>#N/A</v>
      </c>
      <c r="C292" s="38"/>
      <c r="D292" s="38"/>
      <c r="E292" s="39"/>
      <c r="F292" s="41">
        <f t="shared" si="11"/>
        <v>0</v>
      </c>
    </row>
    <row r="293" spans="1:6" x14ac:dyDescent="0.25">
      <c r="A293" s="36">
        <v>44222</v>
      </c>
      <c r="B293" s="38" t="e">
        <v>#N/A</v>
      </c>
      <c r="C293" s="38"/>
      <c r="D293" s="38"/>
      <c r="E293" s="39"/>
      <c r="F293" s="41">
        <f t="shared" si="11"/>
        <v>0</v>
      </c>
    </row>
    <row r="294" spans="1:6" x14ac:dyDescent="0.25">
      <c r="A294" s="36">
        <v>44222</v>
      </c>
      <c r="B294" s="38" t="e">
        <v>#N/A</v>
      </c>
      <c r="C294" s="38"/>
      <c r="D294" s="38"/>
      <c r="E294" s="39"/>
      <c r="F294" s="41">
        <f t="shared" si="11"/>
        <v>0</v>
      </c>
    </row>
    <row r="295" spans="1:6" x14ac:dyDescent="0.25">
      <c r="A295" s="36">
        <v>44222</v>
      </c>
      <c r="B295" s="38">
        <v>1004</v>
      </c>
      <c r="C295" s="38" t="s">
        <v>6</v>
      </c>
      <c r="D295" s="38">
        <v>1</v>
      </c>
      <c r="E295" s="39">
        <v>199.5</v>
      </c>
      <c r="F295" s="41">
        <f t="shared" si="11"/>
        <v>199.5</v>
      </c>
    </row>
    <row r="296" spans="1:6" x14ac:dyDescent="0.25">
      <c r="A296" s="36">
        <v>44222</v>
      </c>
      <c r="B296" s="38" t="e">
        <v>#N/A</v>
      </c>
      <c r="C296" s="38"/>
      <c r="D296" s="38"/>
      <c r="E296" s="39"/>
      <c r="F296" s="41">
        <f t="shared" si="11"/>
        <v>0</v>
      </c>
    </row>
    <row r="297" spans="1:6" x14ac:dyDescent="0.25">
      <c r="A297" s="36">
        <v>44222</v>
      </c>
      <c r="B297" s="38" t="e">
        <v>#N/A</v>
      </c>
      <c r="C297" s="38"/>
      <c r="D297" s="38"/>
      <c r="E297" s="39"/>
      <c r="F297" s="41">
        <f t="shared" si="11"/>
        <v>0</v>
      </c>
    </row>
    <row r="298" spans="1:6" x14ac:dyDescent="0.25">
      <c r="A298" s="36">
        <v>44222</v>
      </c>
      <c r="B298" s="38" t="e">
        <v>#N/A</v>
      </c>
      <c r="C298" s="38"/>
      <c r="D298" s="38"/>
      <c r="E298" s="39"/>
      <c r="F298" s="41">
        <f t="shared" si="11"/>
        <v>0</v>
      </c>
    </row>
    <row r="299" spans="1:6" x14ac:dyDescent="0.25">
      <c r="A299" s="36">
        <v>44222</v>
      </c>
      <c r="B299" s="38" t="e">
        <v>#N/A</v>
      </c>
      <c r="C299" s="38"/>
      <c r="D299" s="38"/>
      <c r="E299" s="39"/>
      <c r="F299" s="41">
        <f t="shared" si="11"/>
        <v>0</v>
      </c>
    </row>
    <row r="300" spans="1:6" x14ac:dyDescent="0.25">
      <c r="A300" s="36">
        <v>44222</v>
      </c>
      <c r="B300" s="38">
        <v>1007</v>
      </c>
      <c r="C300" s="38" t="s">
        <v>37</v>
      </c>
      <c r="D300" s="38">
        <v>1</v>
      </c>
      <c r="E300" s="39">
        <v>61.5</v>
      </c>
      <c r="F300" s="41">
        <f t="shared" si="11"/>
        <v>61.5</v>
      </c>
    </row>
    <row r="301" spans="1:6" x14ac:dyDescent="0.25">
      <c r="A301" s="36">
        <v>44222</v>
      </c>
      <c r="B301" s="38" t="e">
        <v>#N/A</v>
      </c>
      <c r="C301" s="38"/>
      <c r="D301" s="38"/>
      <c r="E301" s="39"/>
      <c r="F301" s="41">
        <f t="shared" si="11"/>
        <v>0</v>
      </c>
    </row>
    <row r="302" spans="1:6" x14ac:dyDescent="0.25">
      <c r="A302" s="36">
        <v>44222</v>
      </c>
      <c r="B302" s="38" t="e">
        <v>#N/A</v>
      </c>
      <c r="C302" s="38"/>
      <c r="D302" s="38"/>
      <c r="E302" s="39"/>
      <c r="F302" s="41">
        <f t="shared" si="11"/>
        <v>0</v>
      </c>
    </row>
    <row r="303" spans="1:6" x14ac:dyDescent="0.25">
      <c r="A303" s="36">
        <v>44222</v>
      </c>
      <c r="B303" s="38" t="e">
        <v>#N/A</v>
      </c>
      <c r="C303" s="38"/>
      <c r="D303" s="38"/>
      <c r="E303" s="39"/>
      <c r="F303" s="41">
        <f t="shared" si="11"/>
        <v>0</v>
      </c>
    </row>
    <row r="304" spans="1:6" x14ac:dyDescent="0.25">
      <c r="A304" s="36">
        <v>44222</v>
      </c>
      <c r="B304" s="38" t="e">
        <v>#N/A</v>
      </c>
      <c r="C304" s="38"/>
      <c r="D304" s="38"/>
      <c r="E304" s="39"/>
      <c r="F304" s="41">
        <f t="shared" si="11"/>
        <v>0</v>
      </c>
    </row>
    <row r="305" spans="1:6" x14ac:dyDescent="0.25">
      <c r="A305" s="36">
        <v>44222</v>
      </c>
      <c r="B305" s="38">
        <v>1009</v>
      </c>
      <c r="C305" s="38" t="s">
        <v>40</v>
      </c>
      <c r="D305" s="38">
        <v>1</v>
      </c>
      <c r="E305" s="39">
        <v>60</v>
      </c>
      <c r="F305" s="41">
        <f t="shared" si="11"/>
        <v>60</v>
      </c>
    </row>
    <row r="306" spans="1:6" x14ac:dyDescent="0.25">
      <c r="A306" s="36">
        <v>44222</v>
      </c>
      <c r="B306" s="38" t="e">
        <v>#N/A</v>
      </c>
      <c r="C306" s="38"/>
      <c r="D306" s="38"/>
      <c r="E306" s="39"/>
      <c r="F306" s="41">
        <f t="shared" si="11"/>
        <v>0</v>
      </c>
    </row>
    <row r="307" spans="1:6" x14ac:dyDescent="0.25">
      <c r="A307" s="36">
        <v>44222</v>
      </c>
      <c r="B307" s="38" t="e">
        <v>#N/A</v>
      </c>
      <c r="C307" s="38"/>
      <c r="D307" s="38"/>
      <c r="E307" s="39"/>
      <c r="F307" s="41">
        <f t="shared" ref="F307:F324" si="12">E307*D307</f>
        <v>0</v>
      </c>
    </row>
    <row r="308" spans="1:6" x14ac:dyDescent="0.25">
      <c r="A308" s="36">
        <v>44222</v>
      </c>
      <c r="B308" s="38" t="e">
        <v>#N/A</v>
      </c>
      <c r="C308" s="38"/>
      <c r="D308" s="38"/>
      <c r="E308" s="39"/>
      <c r="F308" s="41">
        <f t="shared" si="12"/>
        <v>0</v>
      </c>
    </row>
    <row r="309" spans="1:6" x14ac:dyDescent="0.25">
      <c r="A309" s="36">
        <v>44222</v>
      </c>
      <c r="B309" s="38" t="e">
        <v>#N/A</v>
      </c>
      <c r="C309" s="38"/>
      <c r="D309" s="38"/>
      <c r="E309" s="39"/>
      <c r="F309" s="41">
        <f t="shared" si="12"/>
        <v>0</v>
      </c>
    </row>
    <row r="310" spans="1:6" x14ac:dyDescent="0.25">
      <c r="A310" s="36">
        <v>44222</v>
      </c>
      <c r="B310" s="38">
        <v>1008</v>
      </c>
      <c r="C310" s="38" t="s">
        <v>38</v>
      </c>
      <c r="D310" s="38">
        <v>1</v>
      </c>
      <c r="E310" s="39">
        <v>50</v>
      </c>
      <c r="F310" s="41">
        <f t="shared" si="12"/>
        <v>50</v>
      </c>
    </row>
    <row r="311" spans="1:6" x14ac:dyDescent="0.25">
      <c r="A311" s="36">
        <v>44222</v>
      </c>
      <c r="B311" s="38" t="e">
        <v>#N/A</v>
      </c>
      <c r="C311" s="38"/>
      <c r="D311" s="38"/>
      <c r="E311" s="39"/>
      <c r="F311" s="41">
        <f t="shared" si="12"/>
        <v>0</v>
      </c>
    </row>
    <row r="312" spans="1:6" x14ac:dyDescent="0.25">
      <c r="A312" s="36">
        <v>44222</v>
      </c>
      <c r="B312" s="38" t="e">
        <v>#N/A</v>
      </c>
      <c r="C312" s="38"/>
      <c r="D312" s="38"/>
      <c r="E312" s="39"/>
      <c r="F312" s="41">
        <f t="shared" si="12"/>
        <v>0</v>
      </c>
    </row>
    <row r="313" spans="1:6" x14ac:dyDescent="0.25">
      <c r="A313" s="36">
        <v>44222</v>
      </c>
      <c r="B313" s="38" t="e">
        <v>#N/A</v>
      </c>
      <c r="C313" s="38"/>
      <c r="D313" s="38"/>
      <c r="E313" s="39"/>
      <c r="F313" s="41">
        <f t="shared" si="12"/>
        <v>0</v>
      </c>
    </row>
    <row r="314" spans="1:6" x14ac:dyDescent="0.25">
      <c r="A314" s="36">
        <v>44222</v>
      </c>
      <c r="B314" s="38" t="e">
        <v>#N/A</v>
      </c>
      <c r="C314" s="38"/>
      <c r="D314" s="38"/>
      <c r="E314" s="39"/>
      <c r="F314" s="41">
        <f t="shared" si="12"/>
        <v>0</v>
      </c>
    </row>
    <row r="315" spans="1:6" x14ac:dyDescent="0.25">
      <c r="A315" s="36">
        <v>44222</v>
      </c>
      <c r="B315" s="38">
        <v>1005</v>
      </c>
      <c r="C315" s="38" t="s">
        <v>34</v>
      </c>
      <c r="D315" s="38">
        <v>1</v>
      </c>
      <c r="E315" s="39">
        <v>191</v>
      </c>
      <c r="F315" s="41">
        <f t="shared" si="12"/>
        <v>191</v>
      </c>
    </row>
    <row r="316" spans="1:6" x14ac:dyDescent="0.25">
      <c r="A316" s="36">
        <v>44222</v>
      </c>
      <c r="B316" s="38" t="e">
        <v>#N/A</v>
      </c>
      <c r="C316" s="38"/>
      <c r="D316" s="38"/>
      <c r="E316" s="39"/>
      <c r="F316" s="41">
        <f t="shared" si="12"/>
        <v>0</v>
      </c>
    </row>
    <row r="317" spans="1:6" x14ac:dyDescent="0.25">
      <c r="A317" s="36">
        <v>44222</v>
      </c>
      <c r="B317" s="38" t="e">
        <v>#N/A</v>
      </c>
      <c r="C317" s="38"/>
      <c r="D317" s="38"/>
      <c r="E317" s="39"/>
      <c r="F317" s="41">
        <f t="shared" si="12"/>
        <v>0</v>
      </c>
    </row>
    <row r="318" spans="1:6" x14ac:dyDescent="0.25">
      <c r="A318" s="36">
        <v>44222</v>
      </c>
      <c r="B318" s="38" t="e">
        <v>#N/A</v>
      </c>
      <c r="C318" s="38"/>
      <c r="D318" s="38"/>
      <c r="E318" s="39"/>
      <c r="F318" s="41">
        <f t="shared" si="12"/>
        <v>0</v>
      </c>
    </row>
    <row r="319" spans="1:6" x14ac:dyDescent="0.25">
      <c r="A319" s="36">
        <v>44222</v>
      </c>
      <c r="B319" s="38" t="e">
        <v>#N/A</v>
      </c>
      <c r="C319" s="38"/>
      <c r="D319" s="38"/>
      <c r="E319" s="39"/>
      <c r="F319" s="41">
        <f t="shared" si="12"/>
        <v>0</v>
      </c>
    </row>
    <row r="320" spans="1:6" x14ac:dyDescent="0.25">
      <c r="A320" s="36">
        <v>44221</v>
      </c>
      <c r="B320" s="38">
        <v>1001</v>
      </c>
      <c r="C320" s="38" t="s">
        <v>9</v>
      </c>
      <c r="D320" s="38">
        <v>1</v>
      </c>
      <c r="E320" s="39">
        <v>50</v>
      </c>
      <c r="F320" s="41">
        <f t="shared" si="12"/>
        <v>50</v>
      </c>
    </row>
    <row r="321" spans="1:6" x14ac:dyDescent="0.25">
      <c r="A321" s="36">
        <v>44221</v>
      </c>
      <c r="B321" s="38">
        <v>1007</v>
      </c>
      <c r="C321" s="38" t="s">
        <v>37</v>
      </c>
      <c r="D321" s="38">
        <v>2</v>
      </c>
      <c r="E321" s="39">
        <v>50</v>
      </c>
      <c r="F321" s="41">
        <f t="shared" si="12"/>
        <v>100</v>
      </c>
    </row>
    <row r="322" spans="1:6" x14ac:dyDescent="0.25">
      <c r="A322" s="36">
        <v>44221</v>
      </c>
      <c r="B322" s="38">
        <v>1005</v>
      </c>
      <c r="C322" s="38" t="s">
        <v>34</v>
      </c>
      <c r="D322" s="38">
        <v>3</v>
      </c>
      <c r="E322" s="39">
        <v>190</v>
      </c>
      <c r="F322" s="41">
        <f t="shared" si="12"/>
        <v>570</v>
      </c>
    </row>
    <row r="323" spans="1:6" x14ac:dyDescent="0.25">
      <c r="A323" s="36">
        <v>44221</v>
      </c>
      <c r="B323" s="38" t="e">
        <v>#N/A</v>
      </c>
      <c r="C323" s="38"/>
      <c r="D323" s="38"/>
      <c r="E323" s="39"/>
      <c r="F323" s="41">
        <f t="shared" si="12"/>
        <v>0</v>
      </c>
    </row>
    <row r="324" spans="1:6" x14ac:dyDescent="0.25">
      <c r="A324" s="36">
        <v>44221</v>
      </c>
      <c r="B324" s="38" t="e">
        <v>#N/A</v>
      </c>
      <c r="C324" s="38"/>
      <c r="D324" s="38"/>
      <c r="E324" s="39"/>
      <c r="F324" s="41">
        <f t="shared" si="12"/>
        <v>0</v>
      </c>
    </row>
    <row r="325" spans="1:6" x14ac:dyDescent="0.25">
      <c r="A325" s="36">
        <v>44197</v>
      </c>
      <c r="B325" s="38">
        <v>1001</v>
      </c>
      <c r="C325" s="38" t="s">
        <v>9</v>
      </c>
      <c r="D325" s="38">
        <v>13</v>
      </c>
      <c r="E325" s="39">
        <v>49.9</v>
      </c>
      <c r="F325" s="41">
        <f t="shared" ref="F325:F356" si="13">E325*D325</f>
        <v>648.69999999999993</v>
      </c>
    </row>
    <row r="326" spans="1:6" x14ac:dyDescent="0.25">
      <c r="A326" s="36">
        <v>44197</v>
      </c>
      <c r="B326" s="38">
        <v>1006</v>
      </c>
      <c r="C326" s="38" t="s">
        <v>35</v>
      </c>
      <c r="D326" s="38">
        <v>8</v>
      </c>
      <c r="E326" s="39">
        <v>70.900000000000006</v>
      </c>
      <c r="F326" s="41">
        <f t="shared" si="13"/>
        <v>567.20000000000005</v>
      </c>
    </row>
    <row r="327" spans="1:6" x14ac:dyDescent="0.25">
      <c r="A327" s="36">
        <v>44197</v>
      </c>
      <c r="B327" s="38">
        <v>1010</v>
      </c>
      <c r="C327" s="38" t="s">
        <v>41</v>
      </c>
      <c r="D327" s="38">
        <v>10</v>
      </c>
      <c r="E327" s="39">
        <v>39.9</v>
      </c>
      <c r="F327" s="41">
        <f t="shared" si="13"/>
        <v>399</v>
      </c>
    </row>
    <row r="328" spans="1:6" x14ac:dyDescent="0.25">
      <c r="A328" s="36">
        <v>44197</v>
      </c>
      <c r="B328" s="38">
        <v>1005</v>
      </c>
      <c r="C328" s="38" t="s">
        <v>34</v>
      </c>
      <c r="D328" s="38">
        <v>9</v>
      </c>
      <c r="E328" s="39">
        <v>191.5</v>
      </c>
      <c r="F328" s="41">
        <f t="shared" si="13"/>
        <v>1723.5</v>
      </c>
    </row>
    <row r="329" spans="1:6" x14ac:dyDescent="0.25">
      <c r="A329" s="36">
        <v>44197</v>
      </c>
      <c r="B329" s="38">
        <v>1003</v>
      </c>
      <c r="C329" s="38" t="s">
        <v>32</v>
      </c>
      <c r="D329" s="38">
        <v>7</v>
      </c>
      <c r="E329" s="39">
        <v>161.9</v>
      </c>
      <c r="F329" s="41">
        <f t="shared" si="13"/>
        <v>1133.3</v>
      </c>
    </row>
    <row r="330" spans="1:6" x14ac:dyDescent="0.25">
      <c r="A330" s="36">
        <v>44192</v>
      </c>
      <c r="B330" s="38">
        <v>1009</v>
      </c>
      <c r="C330" s="38" t="s">
        <v>40</v>
      </c>
      <c r="D330" s="38">
        <v>2</v>
      </c>
      <c r="E330" s="39">
        <v>79.900000000000006</v>
      </c>
      <c r="F330" s="41">
        <f t="shared" si="13"/>
        <v>159.80000000000001</v>
      </c>
    </row>
    <row r="331" spans="1:6" x14ac:dyDescent="0.25">
      <c r="A331" s="36">
        <v>44192</v>
      </c>
      <c r="B331" s="38">
        <v>1004</v>
      </c>
      <c r="C331" s="38" t="s">
        <v>6</v>
      </c>
      <c r="D331" s="38">
        <v>2</v>
      </c>
      <c r="E331" s="39">
        <v>199.5</v>
      </c>
      <c r="F331" s="41">
        <f t="shared" si="13"/>
        <v>399</v>
      </c>
    </row>
    <row r="332" spans="1:6" x14ac:dyDescent="0.25">
      <c r="A332" s="36">
        <v>44192</v>
      </c>
      <c r="B332" s="38">
        <v>1006</v>
      </c>
      <c r="C332" s="38" t="s">
        <v>35</v>
      </c>
      <c r="D332" s="38">
        <v>5</v>
      </c>
      <c r="E332" s="39">
        <v>70.5</v>
      </c>
      <c r="F332" s="41">
        <f t="shared" si="13"/>
        <v>352.5</v>
      </c>
    </row>
    <row r="333" spans="1:6" x14ac:dyDescent="0.25">
      <c r="A333" s="36">
        <v>44192</v>
      </c>
      <c r="B333" s="38" t="e">
        <v>#N/A</v>
      </c>
      <c r="C333" s="38"/>
      <c r="D333" s="38"/>
      <c r="E333" s="39"/>
      <c r="F333" s="41">
        <f t="shared" si="13"/>
        <v>0</v>
      </c>
    </row>
    <row r="334" spans="1:6" x14ac:dyDescent="0.25">
      <c r="A334" s="36">
        <v>44192</v>
      </c>
      <c r="B334" s="38" t="e">
        <v>#N/A</v>
      </c>
      <c r="C334" s="38"/>
      <c r="D334" s="38"/>
      <c r="E334" s="39"/>
      <c r="F334" s="41">
        <f t="shared" si="13"/>
        <v>0</v>
      </c>
    </row>
    <row r="335" spans="1:6" x14ac:dyDescent="0.25">
      <c r="A335" s="36">
        <v>44180</v>
      </c>
      <c r="B335" s="38">
        <v>1010</v>
      </c>
      <c r="C335" s="38" t="s">
        <v>41</v>
      </c>
      <c r="D335" s="38">
        <v>9</v>
      </c>
      <c r="E335" s="39">
        <v>39.9</v>
      </c>
      <c r="F335" s="41">
        <f t="shared" si="13"/>
        <v>359.09999999999997</v>
      </c>
    </row>
    <row r="336" spans="1:6" x14ac:dyDescent="0.25">
      <c r="A336" s="36">
        <v>44180</v>
      </c>
      <c r="B336" s="38">
        <v>1009</v>
      </c>
      <c r="C336" s="38" t="s">
        <v>40</v>
      </c>
      <c r="D336" s="38">
        <v>10</v>
      </c>
      <c r="E336" s="39">
        <v>79.5</v>
      </c>
      <c r="F336" s="41">
        <f t="shared" si="13"/>
        <v>795</v>
      </c>
    </row>
    <row r="337" spans="1:6" x14ac:dyDescent="0.25">
      <c r="A337" s="36">
        <v>44180</v>
      </c>
      <c r="B337" s="38">
        <v>1008</v>
      </c>
      <c r="C337" s="38" t="s">
        <v>38</v>
      </c>
      <c r="D337" s="38">
        <v>8</v>
      </c>
      <c r="E337" s="39">
        <v>62.5</v>
      </c>
      <c r="F337" s="41">
        <f t="shared" si="13"/>
        <v>500</v>
      </c>
    </row>
    <row r="338" spans="1:6" x14ac:dyDescent="0.25">
      <c r="A338" s="36">
        <v>44180</v>
      </c>
      <c r="B338" s="38">
        <v>1007</v>
      </c>
      <c r="C338" s="38" t="s">
        <v>37</v>
      </c>
      <c r="D338" s="38">
        <v>7</v>
      </c>
      <c r="E338" s="39">
        <v>60.9</v>
      </c>
      <c r="F338" s="41">
        <f t="shared" si="13"/>
        <v>426.3</v>
      </c>
    </row>
    <row r="339" spans="1:6" x14ac:dyDescent="0.25">
      <c r="A339" s="36">
        <v>44180</v>
      </c>
      <c r="B339" s="38">
        <v>1006</v>
      </c>
      <c r="C339" s="38" t="s">
        <v>35</v>
      </c>
      <c r="D339" s="38">
        <v>9</v>
      </c>
      <c r="E339" s="39">
        <v>70</v>
      </c>
      <c r="F339" s="41">
        <f t="shared" si="13"/>
        <v>630</v>
      </c>
    </row>
    <row r="340" spans="1:6" x14ac:dyDescent="0.25">
      <c r="A340" s="36">
        <v>44166</v>
      </c>
      <c r="B340" s="38">
        <v>1001</v>
      </c>
      <c r="C340" s="38" t="s">
        <v>9</v>
      </c>
      <c r="D340" s="38">
        <v>8</v>
      </c>
      <c r="E340" s="39">
        <v>49.9</v>
      </c>
      <c r="F340" s="41">
        <f t="shared" si="13"/>
        <v>399.2</v>
      </c>
    </row>
    <row r="341" spans="1:6" x14ac:dyDescent="0.25">
      <c r="A341" s="36">
        <v>44166</v>
      </c>
      <c r="B341" s="38">
        <v>1002</v>
      </c>
      <c r="C341" s="38" t="s">
        <v>31</v>
      </c>
      <c r="D341" s="38">
        <v>10</v>
      </c>
      <c r="E341" s="39">
        <v>39.9</v>
      </c>
      <c r="F341" s="41">
        <f t="shared" si="13"/>
        <v>399</v>
      </c>
    </row>
    <row r="342" spans="1:6" x14ac:dyDescent="0.25">
      <c r="A342" s="36">
        <v>44166</v>
      </c>
      <c r="B342" s="38">
        <v>1003</v>
      </c>
      <c r="C342" s="38" t="s">
        <v>32</v>
      </c>
      <c r="D342" s="38">
        <v>5</v>
      </c>
      <c r="E342" s="39">
        <v>169.5</v>
      </c>
      <c r="F342" s="41">
        <f t="shared" si="13"/>
        <v>847.5</v>
      </c>
    </row>
    <row r="343" spans="1:6" x14ac:dyDescent="0.25">
      <c r="A343" s="36">
        <v>44166</v>
      </c>
      <c r="B343" s="38">
        <v>1004</v>
      </c>
      <c r="C343" s="38" t="s">
        <v>6</v>
      </c>
      <c r="D343" s="38">
        <v>3</v>
      </c>
      <c r="E343" s="39">
        <v>199.9</v>
      </c>
      <c r="F343" s="41">
        <f t="shared" si="13"/>
        <v>599.70000000000005</v>
      </c>
    </row>
    <row r="344" spans="1:6" x14ac:dyDescent="0.25">
      <c r="A344" s="36">
        <v>44166</v>
      </c>
      <c r="B344" s="38">
        <v>1005</v>
      </c>
      <c r="C344" s="38" t="s">
        <v>34</v>
      </c>
      <c r="D344" s="38">
        <v>7</v>
      </c>
      <c r="E344" s="39">
        <v>191.9</v>
      </c>
      <c r="F344" s="41">
        <f t="shared" si="13"/>
        <v>1343.3</v>
      </c>
    </row>
    <row r="345" spans="1:6" x14ac:dyDescent="0.25">
      <c r="A345" s="36">
        <v>44165</v>
      </c>
      <c r="B345" s="38">
        <v>1005</v>
      </c>
      <c r="C345" s="38" t="s">
        <v>34</v>
      </c>
      <c r="D345" s="38">
        <v>2</v>
      </c>
      <c r="E345" s="39">
        <v>181.9</v>
      </c>
      <c r="F345" s="41">
        <f t="shared" si="13"/>
        <v>363.8</v>
      </c>
    </row>
    <row r="346" spans="1:6" x14ac:dyDescent="0.25">
      <c r="A346" s="36">
        <v>44165</v>
      </c>
      <c r="B346" s="38">
        <v>1004</v>
      </c>
      <c r="C346" s="38" t="s">
        <v>6</v>
      </c>
      <c r="D346" s="38">
        <v>1</v>
      </c>
      <c r="E346" s="39">
        <v>199.9</v>
      </c>
      <c r="F346" s="41">
        <f t="shared" si="13"/>
        <v>199.9</v>
      </c>
    </row>
    <row r="347" spans="1:6" x14ac:dyDescent="0.25">
      <c r="A347" s="36">
        <v>44165</v>
      </c>
      <c r="B347" s="38">
        <v>1003</v>
      </c>
      <c r="C347" s="38" t="s">
        <v>32</v>
      </c>
      <c r="D347" s="38">
        <v>2</v>
      </c>
      <c r="E347" s="39">
        <v>169.5</v>
      </c>
      <c r="F347" s="41">
        <f t="shared" si="13"/>
        <v>339</v>
      </c>
    </row>
    <row r="348" spans="1:6" x14ac:dyDescent="0.25">
      <c r="A348" s="36">
        <v>44165</v>
      </c>
      <c r="B348" s="38">
        <v>1006</v>
      </c>
      <c r="C348" s="38" t="s">
        <v>35</v>
      </c>
      <c r="D348" s="38">
        <v>3</v>
      </c>
      <c r="E348" s="39">
        <v>70</v>
      </c>
      <c r="F348" s="41">
        <f t="shared" si="13"/>
        <v>210</v>
      </c>
    </row>
    <row r="349" spans="1:6" x14ac:dyDescent="0.25">
      <c r="A349" s="36">
        <v>44165</v>
      </c>
      <c r="B349" s="38" t="e">
        <v>#N/A</v>
      </c>
      <c r="C349" s="38"/>
      <c r="D349" s="38"/>
      <c r="E349" s="39"/>
      <c r="F349" s="41">
        <f t="shared" si="13"/>
        <v>0</v>
      </c>
    </row>
    <row r="350" spans="1:6" x14ac:dyDescent="0.25">
      <c r="A350" s="36">
        <v>44155</v>
      </c>
      <c r="B350" s="38">
        <v>1010</v>
      </c>
      <c r="C350" s="38" t="s">
        <v>41</v>
      </c>
      <c r="D350" s="38">
        <v>5</v>
      </c>
      <c r="E350" s="39">
        <v>39.9</v>
      </c>
      <c r="F350" s="41">
        <f t="shared" si="13"/>
        <v>199.5</v>
      </c>
    </row>
    <row r="351" spans="1:6" x14ac:dyDescent="0.25">
      <c r="A351" s="36">
        <v>44155</v>
      </c>
      <c r="B351" s="38">
        <v>1009</v>
      </c>
      <c r="C351" s="38" t="s">
        <v>40</v>
      </c>
      <c r="D351" s="38">
        <v>3</v>
      </c>
      <c r="E351" s="39">
        <v>75.900000000000006</v>
      </c>
      <c r="F351" s="41">
        <f t="shared" si="13"/>
        <v>227.70000000000002</v>
      </c>
    </row>
    <row r="352" spans="1:6" x14ac:dyDescent="0.25">
      <c r="A352" s="36">
        <v>44155</v>
      </c>
      <c r="B352" s="38">
        <v>1002</v>
      </c>
      <c r="C352" s="38" t="s">
        <v>31</v>
      </c>
      <c r="D352" s="38">
        <v>5</v>
      </c>
      <c r="E352" s="39">
        <v>39.9</v>
      </c>
      <c r="F352" s="41">
        <f t="shared" si="13"/>
        <v>199.5</v>
      </c>
    </row>
    <row r="353" spans="1:6" x14ac:dyDescent="0.25">
      <c r="A353" s="36">
        <v>44155</v>
      </c>
      <c r="B353" s="38" t="e">
        <v>#N/A</v>
      </c>
      <c r="C353" s="38"/>
      <c r="D353" s="38"/>
      <c r="E353" s="39"/>
      <c r="F353" s="41">
        <f t="shared" si="13"/>
        <v>0</v>
      </c>
    </row>
    <row r="354" spans="1:6" x14ac:dyDescent="0.25">
      <c r="A354" s="36">
        <v>44155</v>
      </c>
      <c r="B354" s="38" t="e">
        <v>#N/A</v>
      </c>
      <c r="C354" s="38"/>
      <c r="D354" s="38"/>
      <c r="E354" s="39"/>
      <c r="F354" s="41">
        <f t="shared" si="13"/>
        <v>0</v>
      </c>
    </row>
    <row r="355" spans="1:6" x14ac:dyDescent="0.25">
      <c r="A355" s="36">
        <v>44150</v>
      </c>
      <c r="B355" s="38">
        <v>1005</v>
      </c>
      <c r="C355" s="38" t="s">
        <v>34</v>
      </c>
      <c r="D355" s="38">
        <v>2</v>
      </c>
      <c r="E355" s="39">
        <v>191.8</v>
      </c>
      <c r="F355" s="41">
        <f t="shared" si="13"/>
        <v>383.6</v>
      </c>
    </row>
    <row r="356" spans="1:6" x14ac:dyDescent="0.25">
      <c r="A356" s="36">
        <v>44150</v>
      </c>
      <c r="B356" s="38">
        <v>1006</v>
      </c>
      <c r="C356" s="38" t="s">
        <v>35</v>
      </c>
      <c r="D356" s="38">
        <v>3</v>
      </c>
      <c r="E356" s="39">
        <v>75.5</v>
      </c>
      <c r="F356" s="41">
        <f t="shared" si="13"/>
        <v>226.5</v>
      </c>
    </row>
    <row r="357" spans="1:6" x14ac:dyDescent="0.25">
      <c r="A357" s="36">
        <v>44150</v>
      </c>
      <c r="B357" s="38">
        <v>1003</v>
      </c>
      <c r="C357" s="38" t="s">
        <v>32</v>
      </c>
      <c r="D357" s="38">
        <v>2</v>
      </c>
      <c r="E357" s="39">
        <v>169.5</v>
      </c>
      <c r="F357" s="41">
        <f t="shared" ref="F357:F388" si="14">E357*D357</f>
        <v>339</v>
      </c>
    </row>
    <row r="358" spans="1:6" x14ac:dyDescent="0.25">
      <c r="A358" s="36">
        <v>44150</v>
      </c>
      <c r="B358" s="38">
        <v>1002</v>
      </c>
      <c r="C358" s="38" t="s">
        <v>31</v>
      </c>
      <c r="D358" s="38">
        <v>3</v>
      </c>
      <c r="E358" s="39">
        <v>39.9</v>
      </c>
      <c r="F358" s="41">
        <f t="shared" si="14"/>
        <v>119.69999999999999</v>
      </c>
    </row>
    <row r="359" spans="1:6" x14ac:dyDescent="0.25">
      <c r="A359" s="36">
        <v>44150</v>
      </c>
      <c r="B359" s="38" t="e">
        <v>#N/A</v>
      </c>
      <c r="C359" s="38"/>
      <c r="D359" s="38"/>
      <c r="E359" s="39"/>
      <c r="F359" s="41">
        <f t="shared" si="14"/>
        <v>0</v>
      </c>
    </row>
    <row r="360" spans="1:6" x14ac:dyDescent="0.25">
      <c r="A360" s="36">
        <v>44145</v>
      </c>
      <c r="B360" s="38">
        <v>1008</v>
      </c>
      <c r="C360" s="38" t="s">
        <v>38</v>
      </c>
      <c r="D360" s="38">
        <v>2</v>
      </c>
      <c r="E360" s="39">
        <v>65.5</v>
      </c>
      <c r="F360" s="41">
        <f t="shared" si="14"/>
        <v>131</v>
      </c>
    </row>
    <row r="361" spans="1:6" x14ac:dyDescent="0.25">
      <c r="A361" s="36">
        <v>44145</v>
      </c>
      <c r="B361" s="38">
        <v>1010</v>
      </c>
      <c r="C361" s="38" t="s">
        <v>41</v>
      </c>
      <c r="D361" s="38">
        <v>8</v>
      </c>
      <c r="E361" s="39">
        <v>39.9</v>
      </c>
      <c r="F361" s="41">
        <f t="shared" si="14"/>
        <v>319.2</v>
      </c>
    </row>
    <row r="362" spans="1:6" x14ac:dyDescent="0.25">
      <c r="A362" s="36">
        <v>44145</v>
      </c>
      <c r="B362" s="38">
        <v>1004</v>
      </c>
      <c r="C362" s="38" t="s">
        <v>6</v>
      </c>
      <c r="D362" s="38">
        <v>2</v>
      </c>
      <c r="E362" s="39">
        <v>199.5</v>
      </c>
      <c r="F362" s="41">
        <f t="shared" si="14"/>
        <v>399</v>
      </c>
    </row>
    <row r="363" spans="1:6" x14ac:dyDescent="0.25">
      <c r="A363" s="36">
        <v>44145</v>
      </c>
      <c r="B363" s="38">
        <v>1002</v>
      </c>
      <c r="C363" s="38" t="s">
        <v>31</v>
      </c>
      <c r="D363" s="38">
        <v>3</v>
      </c>
      <c r="E363" s="39">
        <v>39.9</v>
      </c>
      <c r="F363" s="41">
        <f t="shared" si="14"/>
        <v>119.69999999999999</v>
      </c>
    </row>
    <row r="364" spans="1:6" x14ac:dyDescent="0.25">
      <c r="A364" s="36">
        <v>44145</v>
      </c>
      <c r="B364" s="38">
        <v>1007</v>
      </c>
      <c r="C364" s="38" t="s">
        <v>37</v>
      </c>
      <c r="D364" s="38">
        <v>4</v>
      </c>
      <c r="E364" s="39">
        <v>60</v>
      </c>
      <c r="F364" s="41">
        <f t="shared" si="14"/>
        <v>240</v>
      </c>
    </row>
    <row r="365" spans="1:6" x14ac:dyDescent="0.25">
      <c r="A365" s="36">
        <v>44136</v>
      </c>
      <c r="B365" s="38">
        <v>1003</v>
      </c>
      <c r="C365" s="38" t="s">
        <v>32</v>
      </c>
      <c r="D365" s="38">
        <v>1</v>
      </c>
      <c r="E365" s="39">
        <v>179.5</v>
      </c>
      <c r="F365" s="41">
        <f t="shared" si="14"/>
        <v>179.5</v>
      </c>
    </row>
    <row r="366" spans="1:6" x14ac:dyDescent="0.25">
      <c r="A366" s="36">
        <v>44136</v>
      </c>
      <c r="B366" s="38">
        <v>1004</v>
      </c>
      <c r="C366" s="38" t="s">
        <v>6</v>
      </c>
      <c r="D366" s="38">
        <v>2</v>
      </c>
      <c r="E366" s="39">
        <v>199.9</v>
      </c>
      <c r="F366" s="41">
        <f t="shared" si="14"/>
        <v>399.8</v>
      </c>
    </row>
    <row r="367" spans="1:6" x14ac:dyDescent="0.25">
      <c r="A367" s="36">
        <v>44136</v>
      </c>
      <c r="B367" s="38">
        <v>1005</v>
      </c>
      <c r="C367" s="38" t="s">
        <v>34</v>
      </c>
      <c r="D367" s="38">
        <v>1</v>
      </c>
      <c r="E367" s="39">
        <v>191.5</v>
      </c>
      <c r="F367" s="41">
        <f t="shared" si="14"/>
        <v>191.5</v>
      </c>
    </row>
    <row r="368" spans="1:6" x14ac:dyDescent="0.25">
      <c r="A368" s="36">
        <v>44136</v>
      </c>
      <c r="B368" s="38">
        <v>1006</v>
      </c>
      <c r="C368" s="38" t="s">
        <v>35</v>
      </c>
      <c r="D368" s="38">
        <v>5</v>
      </c>
      <c r="E368" s="39">
        <v>75.5</v>
      </c>
      <c r="F368" s="41">
        <f t="shared" si="14"/>
        <v>377.5</v>
      </c>
    </row>
    <row r="369" spans="1:6" x14ac:dyDescent="0.25">
      <c r="A369" s="36">
        <v>44136</v>
      </c>
      <c r="B369" s="38">
        <v>1001</v>
      </c>
      <c r="C369" s="38" t="s">
        <v>9</v>
      </c>
      <c r="D369" s="38">
        <v>2</v>
      </c>
      <c r="E369" s="39">
        <v>49.9</v>
      </c>
      <c r="F369" s="41">
        <f t="shared" si="14"/>
        <v>99.8</v>
      </c>
    </row>
    <row r="370" spans="1:6" x14ac:dyDescent="0.25">
      <c r="A370" s="36">
        <v>44134</v>
      </c>
      <c r="B370" s="38">
        <v>1001</v>
      </c>
      <c r="C370" s="38" t="s">
        <v>9</v>
      </c>
      <c r="D370" s="38">
        <v>2</v>
      </c>
      <c r="E370" s="39">
        <v>50</v>
      </c>
      <c r="F370" s="41">
        <f t="shared" si="14"/>
        <v>100</v>
      </c>
    </row>
    <row r="371" spans="1:6" x14ac:dyDescent="0.25">
      <c r="A371" s="36">
        <v>44134</v>
      </c>
      <c r="B371" s="38">
        <v>1009</v>
      </c>
      <c r="C371" s="38" t="s">
        <v>40</v>
      </c>
      <c r="D371" s="38">
        <v>1</v>
      </c>
      <c r="E371" s="39">
        <v>79.900000000000006</v>
      </c>
      <c r="F371" s="41">
        <f t="shared" si="14"/>
        <v>79.900000000000006</v>
      </c>
    </row>
    <row r="372" spans="1:6" x14ac:dyDescent="0.25">
      <c r="A372" s="36">
        <v>44134</v>
      </c>
      <c r="B372" s="38" t="e">
        <v>#N/A</v>
      </c>
      <c r="C372" s="38"/>
      <c r="D372" s="38"/>
      <c r="E372" s="39"/>
      <c r="F372" s="41">
        <f t="shared" si="14"/>
        <v>0</v>
      </c>
    </row>
    <row r="373" spans="1:6" x14ac:dyDescent="0.25">
      <c r="A373" s="36">
        <v>44134</v>
      </c>
      <c r="B373" s="38" t="e">
        <v>#N/A</v>
      </c>
      <c r="C373" s="38"/>
      <c r="D373" s="38"/>
      <c r="E373" s="39"/>
      <c r="F373" s="41">
        <f t="shared" si="14"/>
        <v>0</v>
      </c>
    </row>
    <row r="374" spans="1:6" x14ac:dyDescent="0.25">
      <c r="A374" s="36">
        <v>44134</v>
      </c>
      <c r="B374" s="38" t="e">
        <v>#N/A</v>
      </c>
      <c r="C374" s="38"/>
      <c r="D374" s="38"/>
      <c r="E374" s="39"/>
      <c r="F374" s="41">
        <f t="shared" si="14"/>
        <v>0</v>
      </c>
    </row>
    <row r="375" spans="1:6" x14ac:dyDescent="0.25">
      <c r="A375" s="36">
        <v>44129</v>
      </c>
      <c r="B375" s="38">
        <v>1007</v>
      </c>
      <c r="C375" s="38" t="s">
        <v>37</v>
      </c>
      <c r="D375" s="38">
        <v>5</v>
      </c>
      <c r="E375" s="39">
        <v>60</v>
      </c>
      <c r="F375" s="41">
        <f t="shared" si="14"/>
        <v>300</v>
      </c>
    </row>
    <row r="376" spans="1:6" x14ac:dyDescent="0.25">
      <c r="A376" s="36">
        <v>44129</v>
      </c>
      <c r="B376" s="38">
        <v>1006</v>
      </c>
      <c r="C376" s="38" t="s">
        <v>35</v>
      </c>
      <c r="D376" s="38">
        <v>2</v>
      </c>
      <c r="E376" s="39">
        <v>75.5</v>
      </c>
      <c r="F376" s="41">
        <f t="shared" si="14"/>
        <v>151</v>
      </c>
    </row>
    <row r="377" spans="1:6" x14ac:dyDescent="0.25">
      <c r="A377" s="36">
        <v>44129</v>
      </c>
      <c r="B377" s="38">
        <v>1009</v>
      </c>
      <c r="C377" s="38" t="s">
        <v>40</v>
      </c>
      <c r="D377" s="38">
        <v>1</v>
      </c>
      <c r="E377" s="39">
        <v>79.900000000000006</v>
      </c>
      <c r="F377" s="41">
        <f t="shared" si="14"/>
        <v>79.900000000000006</v>
      </c>
    </row>
    <row r="378" spans="1:6" x14ac:dyDescent="0.25">
      <c r="A378" s="36">
        <v>44129</v>
      </c>
      <c r="B378" s="38" t="e">
        <v>#N/A</v>
      </c>
      <c r="C378" s="38"/>
      <c r="D378" s="38"/>
      <c r="E378" s="39"/>
      <c r="F378" s="41">
        <f t="shared" si="14"/>
        <v>0</v>
      </c>
    </row>
    <row r="379" spans="1:6" x14ac:dyDescent="0.25">
      <c r="A379" s="36">
        <v>44129</v>
      </c>
      <c r="B379" s="38" t="e">
        <v>#N/A</v>
      </c>
      <c r="C379" s="38"/>
      <c r="D379" s="38"/>
      <c r="E379" s="39"/>
      <c r="F379" s="41">
        <f t="shared" si="14"/>
        <v>0</v>
      </c>
    </row>
    <row r="380" spans="1:6" x14ac:dyDescent="0.25">
      <c r="A380" s="36">
        <v>44124</v>
      </c>
      <c r="B380" s="38">
        <v>1005</v>
      </c>
      <c r="C380" s="38" t="s">
        <v>34</v>
      </c>
      <c r="D380" s="38">
        <v>1</v>
      </c>
      <c r="E380" s="39">
        <v>169.9</v>
      </c>
      <c r="F380" s="41">
        <f t="shared" si="14"/>
        <v>169.9</v>
      </c>
    </row>
    <row r="381" spans="1:6" x14ac:dyDescent="0.25">
      <c r="A381" s="36">
        <v>44124</v>
      </c>
      <c r="B381" s="38">
        <v>1003</v>
      </c>
      <c r="C381" s="38" t="s">
        <v>32</v>
      </c>
      <c r="D381" s="38">
        <v>2</v>
      </c>
      <c r="E381" s="39">
        <v>161.80000000000001</v>
      </c>
      <c r="F381" s="41">
        <f t="shared" si="14"/>
        <v>323.60000000000002</v>
      </c>
    </row>
    <row r="382" spans="1:6" x14ac:dyDescent="0.25">
      <c r="A382" s="36">
        <v>44124</v>
      </c>
      <c r="B382" s="38">
        <v>1004</v>
      </c>
      <c r="C382" s="38" t="s">
        <v>6</v>
      </c>
      <c r="D382" s="38">
        <v>2</v>
      </c>
      <c r="E382" s="39">
        <v>199.5</v>
      </c>
      <c r="F382" s="41">
        <f t="shared" si="14"/>
        <v>399</v>
      </c>
    </row>
    <row r="383" spans="1:6" x14ac:dyDescent="0.25">
      <c r="A383" s="36">
        <v>44124</v>
      </c>
      <c r="B383" s="38" t="e">
        <v>#N/A</v>
      </c>
      <c r="C383" s="38"/>
      <c r="D383" s="38"/>
      <c r="E383" s="39"/>
      <c r="F383" s="41">
        <f t="shared" si="14"/>
        <v>0</v>
      </c>
    </row>
    <row r="384" spans="1:6" x14ac:dyDescent="0.25">
      <c r="A384" s="36">
        <v>44124</v>
      </c>
      <c r="B384" s="38" t="e">
        <v>#N/A</v>
      </c>
      <c r="C384" s="38"/>
      <c r="D384" s="38"/>
      <c r="E384" s="39"/>
      <c r="F384" s="41">
        <f t="shared" si="14"/>
        <v>0</v>
      </c>
    </row>
    <row r="385" spans="1:6" x14ac:dyDescent="0.25">
      <c r="A385" s="36">
        <v>44119</v>
      </c>
      <c r="B385" s="38">
        <v>1003</v>
      </c>
      <c r="C385" s="38" t="s">
        <v>32</v>
      </c>
      <c r="D385" s="38">
        <v>2</v>
      </c>
      <c r="E385" s="39">
        <v>172.5</v>
      </c>
      <c r="F385" s="41">
        <f t="shared" si="14"/>
        <v>345</v>
      </c>
    </row>
    <row r="386" spans="1:6" x14ac:dyDescent="0.25">
      <c r="A386" s="36">
        <v>44119</v>
      </c>
      <c r="B386" s="38">
        <v>1001</v>
      </c>
      <c r="C386" s="38" t="s">
        <v>9</v>
      </c>
      <c r="D386" s="38">
        <v>4</v>
      </c>
      <c r="E386" s="39">
        <v>50.5</v>
      </c>
      <c r="F386" s="41">
        <f t="shared" si="14"/>
        <v>202</v>
      </c>
    </row>
    <row r="387" spans="1:6" x14ac:dyDescent="0.25">
      <c r="A387" s="36">
        <v>44119</v>
      </c>
      <c r="B387" s="38">
        <v>1008</v>
      </c>
      <c r="C387" s="38" t="s">
        <v>38</v>
      </c>
      <c r="D387" s="38">
        <v>3</v>
      </c>
      <c r="E387" s="39">
        <v>66.5</v>
      </c>
      <c r="F387" s="41">
        <f t="shared" si="14"/>
        <v>199.5</v>
      </c>
    </row>
    <row r="388" spans="1:6" x14ac:dyDescent="0.25">
      <c r="A388" s="36">
        <v>44119</v>
      </c>
      <c r="B388" s="38" t="e">
        <v>#N/A</v>
      </c>
      <c r="C388" s="38"/>
      <c r="D388" s="38"/>
      <c r="E388" s="39"/>
      <c r="F388" s="41">
        <f t="shared" si="14"/>
        <v>0</v>
      </c>
    </row>
    <row r="389" spans="1:6" x14ac:dyDescent="0.25">
      <c r="A389" s="36">
        <v>44119</v>
      </c>
      <c r="B389" s="38" t="e">
        <v>#N/A</v>
      </c>
      <c r="C389" s="38"/>
      <c r="D389" s="38"/>
      <c r="E389" s="39"/>
      <c r="F389" s="41">
        <f t="shared" ref="F389:F420" si="15">E389*D389</f>
        <v>0</v>
      </c>
    </row>
    <row r="390" spans="1:6" x14ac:dyDescent="0.25">
      <c r="A390" s="36">
        <v>44114</v>
      </c>
      <c r="B390" s="38">
        <v>1006</v>
      </c>
      <c r="C390" s="38" t="s">
        <v>35</v>
      </c>
      <c r="D390" s="38">
        <v>3</v>
      </c>
      <c r="E390" s="39">
        <v>75.5</v>
      </c>
      <c r="F390" s="41">
        <f t="shared" si="15"/>
        <v>226.5</v>
      </c>
    </row>
    <row r="391" spans="1:6" x14ac:dyDescent="0.25">
      <c r="A391" s="36">
        <v>44114</v>
      </c>
      <c r="B391" s="38">
        <v>1010</v>
      </c>
      <c r="C391" s="38" t="s">
        <v>41</v>
      </c>
      <c r="D391" s="38">
        <v>5</v>
      </c>
      <c r="E391" s="39">
        <v>39.9</v>
      </c>
      <c r="F391" s="41">
        <f t="shared" si="15"/>
        <v>199.5</v>
      </c>
    </row>
    <row r="392" spans="1:6" x14ac:dyDescent="0.25">
      <c r="A392" s="36">
        <v>44114</v>
      </c>
      <c r="B392" s="38">
        <v>1009</v>
      </c>
      <c r="C392" s="38" t="s">
        <v>40</v>
      </c>
      <c r="D392" s="38">
        <v>2</v>
      </c>
      <c r="E392" s="39">
        <v>71.5</v>
      </c>
      <c r="F392" s="41">
        <f t="shared" si="15"/>
        <v>143</v>
      </c>
    </row>
    <row r="393" spans="1:6" x14ac:dyDescent="0.25">
      <c r="A393" s="36">
        <v>44114</v>
      </c>
      <c r="B393" s="38">
        <v>1003</v>
      </c>
      <c r="C393" s="38" t="s">
        <v>32</v>
      </c>
      <c r="D393" s="38">
        <v>1</v>
      </c>
      <c r="E393" s="39">
        <v>171.5</v>
      </c>
      <c r="F393" s="41">
        <f t="shared" si="15"/>
        <v>171.5</v>
      </c>
    </row>
    <row r="394" spans="1:6" x14ac:dyDescent="0.25">
      <c r="A394" s="36">
        <v>44114</v>
      </c>
      <c r="B394" s="38">
        <v>1002</v>
      </c>
      <c r="C394" s="38" t="s">
        <v>31</v>
      </c>
      <c r="D394" s="38">
        <v>4</v>
      </c>
      <c r="E394" s="39">
        <v>39.5</v>
      </c>
      <c r="F394" s="41">
        <f t="shared" si="15"/>
        <v>158</v>
      </c>
    </row>
    <row r="395" spans="1:6" x14ac:dyDescent="0.25">
      <c r="A395" s="36">
        <v>44105</v>
      </c>
      <c r="B395" s="38">
        <v>1001</v>
      </c>
      <c r="C395" s="38" t="s">
        <v>9</v>
      </c>
      <c r="D395" s="38">
        <v>5</v>
      </c>
      <c r="E395" s="39">
        <v>49.9</v>
      </c>
      <c r="F395" s="41">
        <f t="shared" si="15"/>
        <v>249.5</v>
      </c>
    </row>
    <row r="396" spans="1:6" x14ac:dyDescent="0.25">
      <c r="A396" s="36">
        <v>44105</v>
      </c>
      <c r="B396" s="38">
        <v>1004</v>
      </c>
      <c r="C396" s="38" t="s">
        <v>6</v>
      </c>
      <c r="D396" s="38">
        <v>2</v>
      </c>
      <c r="E396" s="39">
        <v>199.5</v>
      </c>
      <c r="F396" s="41">
        <f t="shared" si="15"/>
        <v>399</v>
      </c>
    </row>
    <row r="397" spans="1:6" x14ac:dyDescent="0.25">
      <c r="A397" s="36">
        <v>44105</v>
      </c>
      <c r="B397" s="38">
        <v>1005</v>
      </c>
      <c r="C397" s="38" t="s">
        <v>34</v>
      </c>
      <c r="D397" s="38">
        <v>1</v>
      </c>
      <c r="E397" s="39">
        <v>191.5</v>
      </c>
      <c r="F397" s="41">
        <f t="shared" si="15"/>
        <v>191.5</v>
      </c>
    </row>
    <row r="398" spans="1:6" x14ac:dyDescent="0.25">
      <c r="A398" s="36">
        <v>44105</v>
      </c>
      <c r="B398" s="38" t="e">
        <v>#N/A</v>
      </c>
      <c r="C398" s="38"/>
      <c r="D398" s="38"/>
      <c r="E398" s="39"/>
      <c r="F398" s="41">
        <f t="shared" si="15"/>
        <v>0</v>
      </c>
    </row>
    <row r="399" spans="1:6" x14ac:dyDescent="0.25">
      <c r="A399" s="36">
        <v>44105</v>
      </c>
      <c r="B399" s="38" t="e">
        <v>#N/A</v>
      </c>
      <c r="C399" s="38"/>
      <c r="D399" s="38"/>
      <c r="E399" s="39"/>
      <c r="F399" s="41">
        <f t="shared" si="15"/>
        <v>0</v>
      </c>
    </row>
    <row r="400" spans="1:6" x14ac:dyDescent="0.25">
      <c r="A400" s="36">
        <v>44099</v>
      </c>
      <c r="B400" s="38">
        <v>1005</v>
      </c>
      <c r="C400" s="38" t="s">
        <v>34</v>
      </c>
      <c r="D400" s="38">
        <v>1</v>
      </c>
      <c r="E400" s="39">
        <v>181.5</v>
      </c>
      <c r="F400" s="41">
        <f t="shared" si="15"/>
        <v>181.5</v>
      </c>
    </row>
    <row r="401" spans="1:6" x14ac:dyDescent="0.25">
      <c r="A401" s="36">
        <v>44099</v>
      </c>
      <c r="B401" s="38">
        <v>1003</v>
      </c>
      <c r="C401" s="38" t="s">
        <v>32</v>
      </c>
      <c r="D401" s="38">
        <v>1</v>
      </c>
      <c r="E401" s="39">
        <v>171.9</v>
      </c>
      <c r="F401" s="41">
        <f t="shared" si="15"/>
        <v>171.9</v>
      </c>
    </row>
    <row r="402" spans="1:6" x14ac:dyDescent="0.25">
      <c r="A402" s="36">
        <v>44099</v>
      </c>
      <c r="B402" s="38">
        <v>1004</v>
      </c>
      <c r="C402" s="38" t="s">
        <v>6</v>
      </c>
      <c r="D402" s="38">
        <v>1</v>
      </c>
      <c r="E402" s="39">
        <v>199.5</v>
      </c>
      <c r="F402" s="41">
        <f t="shared" si="15"/>
        <v>199.5</v>
      </c>
    </row>
    <row r="403" spans="1:6" x14ac:dyDescent="0.25">
      <c r="A403" s="36">
        <v>44099</v>
      </c>
      <c r="B403" s="38" t="e">
        <v>#N/A</v>
      </c>
      <c r="C403" s="38"/>
      <c r="D403" s="38"/>
      <c r="E403" s="39"/>
      <c r="F403" s="41">
        <f t="shared" si="15"/>
        <v>0</v>
      </c>
    </row>
    <row r="404" spans="1:6" x14ac:dyDescent="0.25">
      <c r="A404" s="36">
        <v>44099</v>
      </c>
      <c r="B404" s="38" t="e">
        <v>#N/A</v>
      </c>
      <c r="C404" s="38"/>
      <c r="D404" s="38"/>
      <c r="E404" s="39"/>
      <c r="F404" s="41">
        <f t="shared" si="15"/>
        <v>0</v>
      </c>
    </row>
    <row r="405" spans="1:6" x14ac:dyDescent="0.25">
      <c r="A405" s="36">
        <v>44094</v>
      </c>
      <c r="B405" s="38">
        <v>1009</v>
      </c>
      <c r="C405" s="38" t="s">
        <v>40</v>
      </c>
      <c r="D405" s="38">
        <v>1</v>
      </c>
      <c r="E405" s="39">
        <v>70</v>
      </c>
      <c r="F405" s="41">
        <f t="shared" si="15"/>
        <v>70</v>
      </c>
    </row>
    <row r="406" spans="1:6" x14ac:dyDescent="0.25">
      <c r="A406" s="36">
        <v>44094</v>
      </c>
      <c r="B406" s="38">
        <v>1007</v>
      </c>
      <c r="C406" s="38" t="s">
        <v>37</v>
      </c>
      <c r="D406" s="38">
        <v>2</v>
      </c>
      <c r="E406" s="39">
        <v>60</v>
      </c>
      <c r="F406" s="41">
        <f t="shared" si="15"/>
        <v>120</v>
      </c>
    </row>
    <row r="407" spans="1:6" x14ac:dyDescent="0.25">
      <c r="A407" s="36">
        <v>44094</v>
      </c>
      <c r="B407" s="38">
        <v>1004</v>
      </c>
      <c r="C407" s="38" t="s">
        <v>6</v>
      </c>
      <c r="D407" s="38">
        <v>1</v>
      </c>
      <c r="E407" s="39">
        <v>200</v>
      </c>
      <c r="F407" s="41">
        <f t="shared" si="15"/>
        <v>200</v>
      </c>
    </row>
    <row r="408" spans="1:6" x14ac:dyDescent="0.25">
      <c r="A408" s="36">
        <v>44094</v>
      </c>
      <c r="B408" s="38">
        <v>1001</v>
      </c>
      <c r="C408" s="38" t="s">
        <v>9</v>
      </c>
      <c r="D408" s="38">
        <v>3</v>
      </c>
      <c r="E408" s="39">
        <v>49.9</v>
      </c>
      <c r="F408" s="41">
        <f t="shared" si="15"/>
        <v>149.69999999999999</v>
      </c>
    </row>
    <row r="409" spans="1:6" x14ac:dyDescent="0.25">
      <c r="A409" s="36">
        <v>44094</v>
      </c>
      <c r="B409" s="38">
        <v>1010</v>
      </c>
      <c r="C409" s="38" t="s">
        <v>41</v>
      </c>
      <c r="D409" s="38">
        <v>5</v>
      </c>
      <c r="E409" s="39">
        <v>39.9</v>
      </c>
      <c r="F409" s="41">
        <f t="shared" si="15"/>
        <v>199.5</v>
      </c>
    </row>
    <row r="410" spans="1:6" x14ac:dyDescent="0.25">
      <c r="A410" s="36">
        <v>44089</v>
      </c>
      <c r="B410" s="38">
        <v>1005</v>
      </c>
      <c r="C410" s="38" t="s">
        <v>34</v>
      </c>
      <c r="D410" s="38">
        <v>1</v>
      </c>
      <c r="E410" s="39">
        <v>181.5</v>
      </c>
      <c r="F410" s="41">
        <f t="shared" si="15"/>
        <v>181.5</v>
      </c>
    </row>
    <row r="411" spans="1:6" x14ac:dyDescent="0.25">
      <c r="A411" s="36">
        <v>44089</v>
      </c>
      <c r="B411" s="38">
        <v>1003</v>
      </c>
      <c r="C411" s="38" t="s">
        <v>32</v>
      </c>
      <c r="D411" s="38">
        <v>2</v>
      </c>
      <c r="E411" s="39">
        <v>169.9</v>
      </c>
      <c r="F411" s="41">
        <f t="shared" si="15"/>
        <v>339.8</v>
      </c>
    </row>
    <row r="412" spans="1:6" x14ac:dyDescent="0.25">
      <c r="A412" s="36">
        <v>44089</v>
      </c>
      <c r="B412" s="38" t="e">
        <v>#N/A</v>
      </c>
      <c r="C412" s="38"/>
      <c r="D412" s="38"/>
      <c r="E412" s="39"/>
      <c r="F412" s="41">
        <f t="shared" si="15"/>
        <v>0</v>
      </c>
    </row>
    <row r="413" spans="1:6" x14ac:dyDescent="0.25">
      <c r="A413" s="36">
        <v>44089</v>
      </c>
      <c r="B413" s="38" t="e">
        <v>#N/A</v>
      </c>
      <c r="C413" s="38"/>
      <c r="D413" s="38"/>
      <c r="E413" s="39"/>
      <c r="F413" s="41">
        <f t="shared" si="15"/>
        <v>0</v>
      </c>
    </row>
    <row r="414" spans="1:6" x14ac:dyDescent="0.25">
      <c r="A414" s="36">
        <v>44089</v>
      </c>
      <c r="B414" s="38" t="e">
        <v>#N/A</v>
      </c>
      <c r="C414" s="38"/>
      <c r="D414" s="38"/>
      <c r="E414" s="39"/>
      <c r="F414" s="41">
        <f t="shared" si="15"/>
        <v>0</v>
      </c>
    </row>
    <row r="415" spans="1:6" x14ac:dyDescent="0.25">
      <c r="A415" s="36">
        <v>44084</v>
      </c>
      <c r="B415" s="38">
        <v>1001</v>
      </c>
      <c r="C415" s="38" t="s">
        <v>9</v>
      </c>
      <c r="D415" s="38">
        <v>2</v>
      </c>
      <c r="E415" s="39">
        <v>49.9</v>
      </c>
      <c r="F415" s="41">
        <f t="shared" si="15"/>
        <v>99.8</v>
      </c>
    </row>
    <row r="416" spans="1:6" x14ac:dyDescent="0.25">
      <c r="A416" s="36">
        <v>44084</v>
      </c>
      <c r="B416" s="38">
        <v>1002</v>
      </c>
      <c r="C416" s="38" t="s">
        <v>31</v>
      </c>
      <c r="D416" s="38">
        <v>3</v>
      </c>
      <c r="E416" s="39">
        <v>35.799999999999997</v>
      </c>
      <c r="F416" s="41">
        <f t="shared" si="15"/>
        <v>107.39999999999999</v>
      </c>
    </row>
    <row r="417" spans="1:6" x14ac:dyDescent="0.25">
      <c r="A417" s="36">
        <v>44084</v>
      </c>
      <c r="B417" s="38">
        <v>1008</v>
      </c>
      <c r="C417" s="38" t="s">
        <v>38</v>
      </c>
      <c r="D417" s="38">
        <v>2</v>
      </c>
      <c r="E417" s="39">
        <v>69.900000000000006</v>
      </c>
      <c r="F417" s="41">
        <f t="shared" si="15"/>
        <v>139.80000000000001</v>
      </c>
    </row>
    <row r="418" spans="1:6" x14ac:dyDescent="0.25">
      <c r="A418" s="36">
        <v>44084</v>
      </c>
      <c r="B418" s="38">
        <v>1010</v>
      </c>
      <c r="C418" s="38" t="s">
        <v>41</v>
      </c>
      <c r="D418" s="38">
        <v>5</v>
      </c>
      <c r="E418" s="39">
        <v>39.799999999999997</v>
      </c>
      <c r="F418" s="41">
        <f t="shared" si="15"/>
        <v>199</v>
      </c>
    </row>
    <row r="419" spans="1:6" x14ac:dyDescent="0.25">
      <c r="A419" s="36">
        <v>44084</v>
      </c>
      <c r="B419" s="38">
        <v>1006</v>
      </c>
      <c r="C419" s="38" t="s">
        <v>35</v>
      </c>
      <c r="D419" s="38">
        <v>3</v>
      </c>
      <c r="E419" s="39">
        <v>77.900000000000006</v>
      </c>
      <c r="F419" s="41">
        <f t="shared" si="15"/>
        <v>233.70000000000002</v>
      </c>
    </row>
    <row r="420" spans="1:6" x14ac:dyDescent="0.25">
      <c r="A420" s="36">
        <v>44079</v>
      </c>
      <c r="B420" s="38">
        <v>1005</v>
      </c>
      <c r="C420" s="38" t="s">
        <v>34</v>
      </c>
      <c r="D420" s="38">
        <v>1</v>
      </c>
      <c r="E420" s="39">
        <v>180</v>
      </c>
      <c r="F420" s="41">
        <f t="shared" si="15"/>
        <v>180</v>
      </c>
    </row>
    <row r="421" spans="1:6" x14ac:dyDescent="0.25">
      <c r="A421" s="36">
        <v>44079</v>
      </c>
      <c r="B421" s="38">
        <v>1003</v>
      </c>
      <c r="C421" s="38" t="s">
        <v>32</v>
      </c>
      <c r="D421" s="38">
        <v>1</v>
      </c>
      <c r="E421" s="39">
        <v>169.9</v>
      </c>
      <c r="F421" s="41">
        <f t="shared" ref="F421:F452" si="16">E421*D421</f>
        <v>169.9</v>
      </c>
    </row>
    <row r="422" spans="1:6" x14ac:dyDescent="0.25">
      <c r="A422" s="36">
        <v>44079</v>
      </c>
      <c r="B422" s="38">
        <v>1004</v>
      </c>
      <c r="C422" s="38" t="s">
        <v>6</v>
      </c>
      <c r="D422" s="38">
        <v>1</v>
      </c>
      <c r="E422" s="39">
        <v>199.9</v>
      </c>
      <c r="F422" s="41">
        <f t="shared" si="16"/>
        <v>199.9</v>
      </c>
    </row>
    <row r="423" spans="1:6" x14ac:dyDescent="0.25">
      <c r="A423" s="36">
        <v>44079</v>
      </c>
      <c r="B423" s="38" t="e">
        <v>#N/A</v>
      </c>
      <c r="C423" s="38"/>
      <c r="D423" s="38"/>
      <c r="E423" s="39"/>
      <c r="F423" s="41">
        <f t="shared" si="16"/>
        <v>0</v>
      </c>
    </row>
    <row r="424" spans="1:6" x14ac:dyDescent="0.25">
      <c r="A424" s="36">
        <v>44079</v>
      </c>
      <c r="B424" s="38" t="e">
        <v>#N/A</v>
      </c>
      <c r="C424" s="38"/>
      <c r="D424" s="38"/>
      <c r="E424" s="39"/>
      <c r="F424" s="41">
        <f t="shared" si="16"/>
        <v>0</v>
      </c>
    </row>
    <row r="425" spans="1:6" x14ac:dyDescent="0.25">
      <c r="A425" s="36">
        <v>44075</v>
      </c>
      <c r="B425" s="38">
        <v>1006</v>
      </c>
      <c r="C425" s="38" t="s">
        <v>35</v>
      </c>
      <c r="D425" s="38">
        <v>1</v>
      </c>
      <c r="E425" s="39">
        <v>70</v>
      </c>
      <c r="F425" s="41">
        <f t="shared" si="16"/>
        <v>70</v>
      </c>
    </row>
    <row r="426" spans="1:6" x14ac:dyDescent="0.25">
      <c r="A426" s="36">
        <v>44075</v>
      </c>
      <c r="B426" s="38">
        <v>1009</v>
      </c>
      <c r="C426" s="38" t="s">
        <v>40</v>
      </c>
      <c r="D426" s="38">
        <v>2</v>
      </c>
      <c r="E426" s="39">
        <v>71.5</v>
      </c>
      <c r="F426" s="41">
        <f t="shared" si="16"/>
        <v>143</v>
      </c>
    </row>
    <row r="427" spans="1:6" x14ac:dyDescent="0.25">
      <c r="A427" s="36">
        <v>44075</v>
      </c>
      <c r="B427" s="38">
        <v>1002</v>
      </c>
      <c r="C427" s="38" t="s">
        <v>31</v>
      </c>
      <c r="D427" s="38">
        <v>2</v>
      </c>
      <c r="E427" s="39">
        <v>35.799999999999997</v>
      </c>
      <c r="F427" s="41">
        <f t="shared" si="16"/>
        <v>71.599999999999994</v>
      </c>
    </row>
    <row r="428" spans="1:6" x14ac:dyDescent="0.25">
      <c r="A428" s="36">
        <v>44075</v>
      </c>
      <c r="B428" s="38" t="e">
        <v>#N/A</v>
      </c>
      <c r="C428" s="38"/>
      <c r="D428" s="38"/>
      <c r="E428" s="39"/>
      <c r="F428" s="41">
        <f t="shared" si="16"/>
        <v>0</v>
      </c>
    </row>
    <row r="429" spans="1:6" x14ac:dyDescent="0.25">
      <c r="A429" s="36">
        <v>44075</v>
      </c>
      <c r="B429" s="38" t="e">
        <v>#N/A</v>
      </c>
      <c r="C429" s="38"/>
      <c r="D429" s="38"/>
      <c r="E429" s="39"/>
      <c r="F429" s="41">
        <f t="shared" si="16"/>
        <v>0</v>
      </c>
    </row>
    <row r="430" spans="1:6" x14ac:dyDescent="0.25">
      <c r="A430" s="36">
        <v>44073</v>
      </c>
      <c r="B430" s="38">
        <v>1003</v>
      </c>
      <c r="C430" s="38" t="s">
        <v>32</v>
      </c>
      <c r="D430" s="38">
        <v>2</v>
      </c>
      <c r="E430" s="39">
        <v>169.8</v>
      </c>
      <c r="F430" s="41">
        <f t="shared" si="16"/>
        <v>339.6</v>
      </c>
    </row>
    <row r="431" spans="1:6" x14ac:dyDescent="0.25">
      <c r="A431" s="36">
        <v>44073</v>
      </c>
      <c r="B431" s="38" t="e">
        <v>#N/A</v>
      </c>
      <c r="C431" s="38"/>
      <c r="D431" s="38"/>
      <c r="E431" s="39"/>
      <c r="F431" s="41">
        <f t="shared" si="16"/>
        <v>0</v>
      </c>
    </row>
    <row r="432" spans="1:6" x14ac:dyDescent="0.25">
      <c r="A432" s="36">
        <v>44073</v>
      </c>
      <c r="B432" s="38" t="e">
        <v>#N/A</v>
      </c>
      <c r="C432" s="38"/>
      <c r="D432" s="38"/>
      <c r="E432" s="39"/>
      <c r="F432" s="41">
        <f t="shared" si="16"/>
        <v>0</v>
      </c>
    </row>
    <row r="433" spans="1:6" x14ac:dyDescent="0.25">
      <c r="A433" s="36">
        <v>44073</v>
      </c>
      <c r="B433" s="38" t="e">
        <v>#N/A</v>
      </c>
      <c r="C433" s="38"/>
      <c r="D433" s="38"/>
      <c r="E433" s="39"/>
      <c r="F433" s="41">
        <f t="shared" si="16"/>
        <v>0</v>
      </c>
    </row>
    <row r="434" spans="1:6" x14ac:dyDescent="0.25">
      <c r="A434" s="36">
        <v>44073</v>
      </c>
      <c r="B434" s="38" t="e">
        <v>#N/A</v>
      </c>
      <c r="C434" s="38"/>
      <c r="D434" s="38"/>
      <c r="E434" s="39"/>
      <c r="F434" s="41">
        <f t="shared" si="16"/>
        <v>0</v>
      </c>
    </row>
    <row r="435" spans="1:6" x14ac:dyDescent="0.25">
      <c r="A435" s="36">
        <v>44070</v>
      </c>
      <c r="B435" s="38">
        <v>1002</v>
      </c>
      <c r="C435" s="38" t="s">
        <v>31</v>
      </c>
      <c r="D435" s="38">
        <v>3</v>
      </c>
      <c r="E435" s="39">
        <v>35.5</v>
      </c>
      <c r="F435" s="41">
        <f t="shared" si="16"/>
        <v>106.5</v>
      </c>
    </row>
    <row r="436" spans="1:6" x14ac:dyDescent="0.25">
      <c r="A436" s="36">
        <v>44070</v>
      </c>
      <c r="B436" s="38" t="e">
        <v>#N/A</v>
      </c>
      <c r="C436" s="38"/>
      <c r="D436" s="38"/>
      <c r="E436" s="39"/>
      <c r="F436" s="41">
        <f t="shared" si="16"/>
        <v>0</v>
      </c>
    </row>
    <row r="437" spans="1:6" x14ac:dyDescent="0.25">
      <c r="A437" s="36">
        <v>44070</v>
      </c>
      <c r="B437" s="38" t="e">
        <v>#N/A</v>
      </c>
      <c r="C437" s="38"/>
      <c r="D437" s="38"/>
      <c r="E437" s="39"/>
      <c r="F437" s="41">
        <f t="shared" si="16"/>
        <v>0</v>
      </c>
    </row>
    <row r="438" spans="1:6" x14ac:dyDescent="0.25">
      <c r="A438" s="36">
        <v>44070</v>
      </c>
      <c r="B438" s="38" t="e">
        <v>#N/A</v>
      </c>
      <c r="C438" s="38"/>
      <c r="D438" s="38"/>
      <c r="E438" s="39"/>
      <c r="F438" s="41">
        <f t="shared" si="16"/>
        <v>0</v>
      </c>
    </row>
    <row r="439" spans="1:6" x14ac:dyDescent="0.25">
      <c r="A439" s="36">
        <v>44070</v>
      </c>
      <c r="B439" s="38" t="e">
        <v>#N/A</v>
      </c>
      <c r="C439" s="38"/>
      <c r="D439" s="38"/>
      <c r="E439" s="39"/>
      <c r="F439" s="41">
        <f t="shared" si="16"/>
        <v>0</v>
      </c>
    </row>
    <row r="440" spans="1:6" x14ac:dyDescent="0.25">
      <c r="A440" s="36">
        <v>44065</v>
      </c>
      <c r="B440" s="38">
        <v>1008</v>
      </c>
      <c r="C440" s="38" t="s">
        <v>38</v>
      </c>
      <c r="D440" s="38">
        <v>3</v>
      </c>
      <c r="E440" s="39">
        <v>69.900000000000006</v>
      </c>
      <c r="F440" s="41">
        <f t="shared" si="16"/>
        <v>209.70000000000002</v>
      </c>
    </row>
    <row r="441" spans="1:6" x14ac:dyDescent="0.25">
      <c r="A441" s="36">
        <v>44065</v>
      </c>
      <c r="B441" s="38" t="e">
        <v>#N/A</v>
      </c>
      <c r="C441" s="38"/>
      <c r="D441" s="38"/>
      <c r="E441" s="39"/>
      <c r="F441" s="41">
        <f t="shared" si="16"/>
        <v>0</v>
      </c>
    </row>
    <row r="442" spans="1:6" x14ac:dyDescent="0.25">
      <c r="A442" s="36">
        <v>44065</v>
      </c>
      <c r="B442" s="38" t="e">
        <v>#N/A</v>
      </c>
      <c r="C442" s="38"/>
      <c r="D442" s="38"/>
      <c r="E442" s="39"/>
      <c r="F442" s="41">
        <f t="shared" si="16"/>
        <v>0</v>
      </c>
    </row>
    <row r="443" spans="1:6" x14ac:dyDescent="0.25">
      <c r="A443" s="36">
        <v>44065</v>
      </c>
      <c r="B443" s="38" t="e">
        <v>#N/A</v>
      </c>
      <c r="C443" s="38"/>
      <c r="D443" s="38"/>
      <c r="E443" s="39"/>
      <c r="F443" s="41">
        <f t="shared" si="16"/>
        <v>0</v>
      </c>
    </row>
    <row r="444" spans="1:6" x14ac:dyDescent="0.25">
      <c r="A444" s="36">
        <v>44065</v>
      </c>
      <c r="B444" s="38" t="e">
        <v>#N/A</v>
      </c>
      <c r="C444" s="38"/>
      <c r="D444" s="38"/>
      <c r="E444" s="39"/>
      <c r="F444" s="41">
        <f t="shared" si="16"/>
        <v>0</v>
      </c>
    </row>
    <row r="445" spans="1:6" x14ac:dyDescent="0.25">
      <c r="A445" s="36">
        <v>44063</v>
      </c>
      <c r="B445" s="38">
        <v>1006</v>
      </c>
      <c r="C445" s="38" t="s">
        <v>35</v>
      </c>
      <c r="D445" s="38">
        <v>2</v>
      </c>
      <c r="E445" s="39">
        <v>70.5</v>
      </c>
      <c r="F445" s="41">
        <f t="shared" si="16"/>
        <v>141</v>
      </c>
    </row>
    <row r="446" spans="1:6" x14ac:dyDescent="0.25">
      <c r="A446" s="36">
        <v>44063</v>
      </c>
      <c r="B446" s="38">
        <v>1005</v>
      </c>
      <c r="C446" s="38" t="s">
        <v>34</v>
      </c>
      <c r="D446" s="38">
        <v>1</v>
      </c>
      <c r="E446" s="39">
        <v>198.5</v>
      </c>
      <c r="F446" s="41">
        <f t="shared" si="16"/>
        <v>198.5</v>
      </c>
    </row>
    <row r="447" spans="1:6" x14ac:dyDescent="0.25">
      <c r="A447" s="36">
        <v>44063</v>
      </c>
      <c r="B447" s="38" t="e">
        <v>#N/A</v>
      </c>
      <c r="C447" s="38"/>
      <c r="D447" s="38"/>
      <c r="E447" s="39"/>
      <c r="F447" s="41">
        <f t="shared" si="16"/>
        <v>0</v>
      </c>
    </row>
    <row r="448" spans="1:6" x14ac:dyDescent="0.25">
      <c r="A448" s="36">
        <v>44063</v>
      </c>
      <c r="B448" s="38" t="e">
        <v>#N/A</v>
      </c>
      <c r="C448" s="38"/>
      <c r="D448" s="38"/>
      <c r="E448" s="39"/>
      <c r="F448" s="41">
        <f t="shared" si="16"/>
        <v>0</v>
      </c>
    </row>
    <row r="449" spans="1:6" x14ac:dyDescent="0.25">
      <c r="A449" s="36">
        <v>44063</v>
      </c>
      <c r="B449" s="38" t="e">
        <v>#N/A</v>
      </c>
      <c r="C449" s="38"/>
      <c r="D449" s="38"/>
      <c r="E449" s="39"/>
      <c r="F449" s="41">
        <f t="shared" si="16"/>
        <v>0</v>
      </c>
    </row>
    <row r="450" spans="1:6" x14ac:dyDescent="0.25">
      <c r="A450" s="36">
        <v>44060</v>
      </c>
      <c r="B450" s="38">
        <v>1001</v>
      </c>
      <c r="C450" s="38" t="s">
        <v>9</v>
      </c>
      <c r="D450" s="38">
        <v>3</v>
      </c>
      <c r="E450" s="39">
        <v>50</v>
      </c>
      <c r="F450" s="41">
        <f t="shared" si="16"/>
        <v>150</v>
      </c>
    </row>
    <row r="451" spans="1:6" x14ac:dyDescent="0.25">
      <c r="A451" s="36">
        <v>44060</v>
      </c>
      <c r="B451" s="38">
        <v>1002</v>
      </c>
      <c r="C451" s="38" t="s">
        <v>31</v>
      </c>
      <c r="D451" s="38">
        <v>1</v>
      </c>
      <c r="E451" s="39">
        <v>39.9</v>
      </c>
      <c r="F451" s="41">
        <f t="shared" si="16"/>
        <v>39.9</v>
      </c>
    </row>
    <row r="452" spans="1:6" x14ac:dyDescent="0.25">
      <c r="A452" s="36">
        <v>44060</v>
      </c>
      <c r="B452" s="38">
        <v>1009</v>
      </c>
      <c r="C452" s="38" t="s">
        <v>40</v>
      </c>
      <c r="D452" s="38">
        <v>1</v>
      </c>
      <c r="E452" s="39">
        <v>69.900000000000006</v>
      </c>
      <c r="F452" s="41">
        <f t="shared" si="16"/>
        <v>69.900000000000006</v>
      </c>
    </row>
    <row r="453" spans="1:6" x14ac:dyDescent="0.25">
      <c r="A453" s="36">
        <v>44060</v>
      </c>
      <c r="B453" s="38" t="e">
        <v>#N/A</v>
      </c>
      <c r="C453" s="38"/>
      <c r="D453" s="38"/>
      <c r="E453" s="39"/>
      <c r="F453" s="41">
        <f t="shared" ref="F453:F471" si="17">E453*D453</f>
        <v>0</v>
      </c>
    </row>
    <row r="454" spans="1:6" x14ac:dyDescent="0.25">
      <c r="A454" s="36">
        <v>44060</v>
      </c>
      <c r="B454" s="38" t="e">
        <v>#N/A</v>
      </c>
      <c r="C454" s="38"/>
      <c r="D454" s="38"/>
      <c r="E454" s="39"/>
      <c r="F454" s="41">
        <f t="shared" si="17"/>
        <v>0</v>
      </c>
    </row>
    <row r="455" spans="1:6" x14ac:dyDescent="0.25">
      <c r="A455" s="36">
        <v>44058</v>
      </c>
      <c r="B455" s="38">
        <v>1003</v>
      </c>
      <c r="C455" s="38" t="s">
        <v>32</v>
      </c>
      <c r="D455" s="38">
        <v>2</v>
      </c>
      <c r="E455" s="39">
        <v>175.9</v>
      </c>
      <c r="F455" s="41">
        <f t="shared" si="17"/>
        <v>351.8</v>
      </c>
    </row>
    <row r="456" spans="1:6" x14ac:dyDescent="0.25">
      <c r="A456" s="36">
        <v>44058</v>
      </c>
      <c r="B456" s="38" t="e">
        <v>#N/A</v>
      </c>
      <c r="C456" s="38"/>
      <c r="D456" s="38"/>
      <c r="E456" s="39"/>
      <c r="F456" s="41">
        <f t="shared" si="17"/>
        <v>0</v>
      </c>
    </row>
    <row r="457" spans="1:6" x14ac:dyDescent="0.25">
      <c r="A457" s="36">
        <v>44058</v>
      </c>
      <c r="B457" s="38" t="e">
        <v>#N/A</v>
      </c>
      <c r="C457" s="38"/>
      <c r="D457" s="38"/>
      <c r="E457" s="39"/>
      <c r="F457" s="41">
        <f t="shared" si="17"/>
        <v>0</v>
      </c>
    </row>
    <row r="458" spans="1:6" x14ac:dyDescent="0.25">
      <c r="A458" s="36">
        <v>44058</v>
      </c>
      <c r="B458" s="38" t="e">
        <v>#N/A</v>
      </c>
      <c r="C458" s="38"/>
      <c r="D458" s="38"/>
      <c r="E458" s="39"/>
      <c r="F458" s="41">
        <f t="shared" si="17"/>
        <v>0</v>
      </c>
    </row>
    <row r="459" spans="1:6" x14ac:dyDescent="0.25">
      <c r="A459" s="36">
        <v>44058</v>
      </c>
      <c r="B459" s="38" t="e">
        <v>#N/A</v>
      </c>
      <c r="C459" s="38"/>
      <c r="D459" s="38"/>
      <c r="E459" s="39"/>
      <c r="F459" s="41">
        <f t="shared" si="17"/>
        <v>0</v>
      </c>
    </row>
    <row r="460" spans="1:6" x14ac:dyDescent="0.25">
      <c r="A460" s="36">
        <v>44046</v>
      </c>
      <c r="B460" s="38">
        <v>1004</v>
      </c>
      <c r="C460" s="38" t="s">
        <v>6</v>
      </c>
      <c r="D460" s="38">
        <v>1</v>
      </c>
      <c r="E460" s="39">
        <v>200</v>
      </c>
      <c r="F460" s="41">
        <f t="shared" si="17"/>
        <v>200</v>
      </c>
    </row>
    <row r="461" spans="1:6" x14ac:dyDescent="0.25">
      <c r="A461" s="36">
        <v>44046</v>
      </c>
      <c r="B461" s="38" t="e">
        <v>#N/A</v>
      </c>
      <c r="C461" s="38"/>
      <c r="D461" s="38"/>
      <c r="E461" s="39"/>
      <c r="F461" s="41">
        <f t="shared" si="17"/>
        <v>0</v>
      </c>
    </row>
    <row r="462" spans="1:6" x14ac:dyDescent="0.25">
      <c r="A462" s="36">
        <v>44046</v>
      </c>
      <c r="B462" s="38" t="e">
        <v>#N/A</v>
      </c>
      <c r="C462" s="38"/>
      <c r="D462" s="38"/>
      <c r="E462" s="39"/>
      <c r="F462" s="41">
        <f t="shared" si="17"/>
        <v>0</v>
      </c>
    </row>
    <row r="463" spans="1:6" x14ac:dyDescent="0.25">
      <c r="A463" s="36">
        <v>44046</v>
      </c>
      <c r="B463" s="38" t="e">
        <v>#N/A</v>
      </c>
      <c r="C463" s="38"/>
      <c r="D463" s="38"/>
      <c r="E463" s="39"/>
      <c r="F463" s="41">
        <f t="shared" si="17"/>
        <v>0</v>
      </c>
    </row>
    <row r="464" spans="1:6" x14ac:dyDescent="0.25">
      <c r="A464" s="36">
        <v>44046</v>
      </c>
      <c r="B464" s="38" t="e">
        <v>#N/A</v>
      </c>
      <c r="C464" s="38"/>
      <c r="D464" s="38"/>
      <c r="E464" s="39"/>
      <c r="F464" s="41">
        <f t="shared" si="17"/>
        <v>0</v>
      </c>
    </row>
    <row r="465" spans="1:6" x14ac:dyDescent="0.25">
      <c r="A465" s="36">
        <v>44044</v>
      </c>
      <c r="B465" s="38">
        <v>1006</v>
      </c>
      <c r="C465" s="38" t="s">
        <v>35</v>
      </c>
      <c r="D465" s="38">
        <v>1</v>
      </c>
      <c r="E465" s="39">
        <v>75.5</v>
      </c>
      <c r="F465" s="41">
        <f t="shared" si="17"/>
        <v>75.5</v>
      </c>
    </row>
    <row r="466" spans="1:6" x14ac:dyDescent="0.25">
      <c r="A466" s="36">
        <v>44044</v>
      </c>
      <c r="B466" s="38">
        <v>1005</v>
      </c>
      <c r="C466" s="38" t="s">
        <v>34</v>
      </c>
      <c r="D466" s="38">
        <v>1</v>
      </c>
      <c r="E466" s="39">
        <v>182.5</v>
      </c>
      <c r="F466" s="41">
        <f t="shared" si="17"/>
        <v>182.5</v>
      </c>
    </row>
    <row r="467" spans="1:6" x14ac:dyDescent="0.25">
      <c r="A467" s="36">
        <v>44044</v>
      </c>
      <c r="B467" s="38" t="e">
        <v>#N/A</v>
      </c>
      <c r="C467" s="38"/>
      <c r="D467" s="38"/>
      <c r="E467" s="39"/>
      <c r="F467" s="41">
        <f t="shared" si="17"/>
        <v>0</v>
      </c>
    </row>
    <row r="468" spans="1:6" x14ac:dyDescent="0.25">
      <c r="A468" s="36">
        <v>44044</v>
      </c>
      <c r="B468" s="38" t="e">
        <v>#N/A</v>
      </c>
      <c r="C468" s="38"/>
      <c r="D468" s="38"/>
      <c r="E468" s="39"/>
      <c r="F468" s="41">
        <f t="shared" si="17"/>
        <v>0</v>
      </c>
    </row>
    <row r="469" spans="1:6" x14ac:dyDescent="0.25">
      <c r="A469" s="36">
        <v>44044</v>
      </c>
      <c r="B469" s="38" t="e">
        <v>#N/A</v>
      </c>
      <c r="C469" s="38"/>
      <c r="D469" s="38"/>
      <c r="E469" s="39"/>
      <c r="F469" s="41">
        <f t="shared" si="17"/>
        <v>0</v>
      </c>
    </row>
    <row r="470" spans="1:6" x14ac:dyDescent="0.25">
      <c r="A470" s="36">
        <v>44054</v>
      </c>
      <c r="B470" s="38">
        <v>1009</v>
      </c>
      <c r="C470" s="38" t="s">
        <v>40</v>
      </c>
      <c r="D470" s="38">
        <v>1</v>
      </c>
      <c r="E470" s="39">
        <v>78.900000000000006</v>
      </c>
      <c r="F470" s="41">
        <f t="shared" si="17"/>
        <v>78.900000000000006</v>
      </c>
    </row>
    <row r="471" spans="1:6" x14ac:dyDescent="0.25">
      <c r="A471" s="36">
        <v>44068</v>
      </c>
      <c r="B471" s="38">
        <v>1008</v>
      </c>
      <c r="C471" s="38" t="s">
        <v>38</v>
      </c>
      <c r="D471" s="38">
        <v>1</v>
      </c>
      <c r="E471" s="39">
        <v>50</v>
      </c>
      <c r="F471" s="41">
        <f t="shared" si="17"/>
        <v>50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89485-731C-4351-BAB7-2DFD281FE82A}">
  <sheetPr codeName="Planilha12"/>
  <dimension ref="A1:D13"/>
  <sheetViews>
    <sheetView showGridLines="0" showRowColHeaders="0" workbookViewId="0"/>
  </sheetViews>
  <sheetFormatPr defaultRowHeight="15" x14ac:dyDescent="0.25"/>
  <cols>
    <col min="1" max="1" width="22" customWidth="1"/>
    <col min="2" max="2" width="10.28515625" customWidth="1"/>
    <col min="3" max="3" width="18.5703125" bestFit="1" customWidth="1"/>
    <col min="4" max="4" width="15" style="2" bestFit="1" customWidth="1"/>
  </cols>
  <sheetData>
    <row r="1" spans="1:4" x14ac:dyDescent="0.25">
      <c r="A1" s="8" t="s">
        <v>19</v>
      </c>
      <c r="B1" s="8" t="s">
        <v>18</v>
      </c>
      <c r="C1" s="8" t="s">
        <v>4</v>
      </c>
      <c r="D1" s="30" t="s">
        <v>16</v>
      </c>
    </row>
    <row r="2" spans="1:4" x14ac:dyDescent="0.25">
      <c r="A2" s="8" t="s">
        <v>93</v>
      </c>
      <c r="B2" s="8">
        <v>1012</v>
      </c>
      <c r="C2" s="8" t="s">
        <v>94</v>
      </c>
      <c r="D2" s="30">
        <v>50</v>
      </c>
    </row>
    <row r="3" spans="1:4" x14ac:dyDescent="0.25">
      <c r="A3" s="8" t="s">
        <v>49</v>
      </c>
      <c r="B3" s="8">
        <v>1011</v>
      </c>
      <c r="C3" s="8" t="s">
        <v>30</v>
      </c>
      <c r="D3" s="30">
        <v>15.05</v>
      </c>
    </row>
    <row r="4" spans="1:4" x14ac:dyDescent="0.25">
      <c r="A4" s="8" t="s">
        <v>9</v>
      </c>
      <c r="B4" s="8">
        <v>1001</v>
      </c>
      <c r="C4" s="8" t="s">
        <v>30</v>
      </c>
      <c r="D4" s="30">
        <v>24.9</v>
      </c>
    </row>
    <row r="5" spans="1:4" x14ac:dyDescent="0.25">
      <c r="A5" s="8" t="s">
        <v>31</v>
      </c>
      <c r="B5" s="8">
        <v>1002</v>
      </c>
      <c r="C5" s="8" t="s">
        <v>30</v>
      </c>
      <c r="D5" s="30">
        <v>18.5</v>
      </c>
    </row>
    <row r="6" spans="1:4" x14ac:dyDescent="0.25">
      <c r="A6" s="8" t="s">
        <v>32</v>
      </c>
      <c r="B6" s="8">
        <v>1003</v>
      </c>
      <c r="C6" s="8" t="s">
        <v>33</v>
      </c>
      <c r="D6" s="30">
        <v>85.9</v>
      </c>
    </row>
    <row r="7" spans="1:4" x14ac:dyDescent="0.25">
      <c r="A7" s="8" t="s">
        <v>6</v>
      </c>
      <c r="B7" s="8">
        <v>1004</v>
      </c>
      <c r="C7" s="8" t="s">
        <v>33</v>
      </c>
      <c r="D7" s="30">
        <v>99.5</v>
      </c>
    </row>
    <row r="8" spans="1:4" x14ac:dyDescent="0.25">
      <c r="A8" s="8" t="s">
        <v>34</v>
      </c>
      <c r="B8" s="8">
        <v>1005</v>
      </c>
      <c r="C8" s="8" t="s">
        <v>33</v>
      </c>
      <c r="D8" s="30">
        <v>91.5</v>
      </c>
    </row>
    <row r="9" spans="1:4" x14ac:dyDescent="0.25">
      <c r="A9" s="8" t="s">
        <v>35</v>
      </c>
      <c r="B9" s="8">
        <v>1006</v>
      </c>
      <c r="C9" s="8" t="s">
        <v>36</v>
      </c>
      <c r="D9" s="30">
        <v>35.5</v>
      </c>
    </row>
    <row r="10" spans="1:4" x14ac:dyDescent="0.25">
      <c r="A10" s="8" t="s">
        <v>37</v>
      </c>
      <c r="B10" s="8">
        <v>1007</v>
      </c>
      <c r="C10" s="8" t="s">
        <v>36</v>
      </c>
      <c r="D10" s="30">
        <v>29.9</v>
      </c>
    </row>
    <row r="11" spans="1:4" x14ac:dyDescent="0.25">
      <c r="A11" s="8" t="s">
        <v>38</v>
      </c>
      <c r="B11" s="8">
        <v>1008</v>
      </c>
      <c r="C11" s="8" t="s">
        <v>39</v>
      </c>
      <c r="D11" s="30">
        <v>32.9</v>
      </c>
    </row>
    <row r="12" spans="1:4" x14ac:dyDescent="0.25">
      <c r="A12" s="8" t="s">
        <v>40</v>
      </c>
      <c r="B12" s="8">
        <v>1009</v>
      </c>
      <c r="C12" s="8" t="s">
        <v>39</v>
      </c>
      <c r="D12" s="30">
        <v>38.9</v>
      </c>
    </row>
    <row r="13" spans="1:4" x14ac:dyDescent="0.25">
      <c r="A13" s="38" t="s">
        <v>41</v>
      </c>
      <c r="B13" s="38">
        <v>1010</v>
      </c>
      <c r="C13" s="38" t="s">
        <v>30</v>
      </c>
      <c r="D13" s="39">
        <v>18.899999999999999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83594-2B68-4705-8AE0-D04FE099A842}">
  <sheetPr codeName="Planilha3"/>
  <dimension ref="A1:G14"/>
  <sheetViews>
    <sheetView showGridLines="0" showRowColHeaders="0" workbookViewId="0">
      <selection activeCell="H5" sqref="H5"/>
    </sheetView>
  </sheetViews>
  <sheetFormatPr defaultRowHeight="15" x14ac:dyDescent="0.25"/>
  <cols>
    <col min="1" max="1" width="12.85546875" style="3" bestFit="1" customWidth="1"/>
    <col min="2" max="2" width="22.85546875" customWidth="1"/>
    <col min="3" max="3" width="12.7109375" style="2" bestFit="1" customWidth="1"/>
    <col min="4" max="4" width="12.7109375" style="2" customWidth="1"/>
    <col min="5" max="5" width="15.85546875" bestFit="1" customWidth="1"/>
    <col min="6" max="6" width="15.85546875" customWidth="1"/>
    <col min="7" max="7" width="16.85546875" style="3" bestFit="1" customWidth="1"/>
    <col min="9" max="9" width="5.140625" bestFit="1" customWidth="1"/>
    <col min="10" max="10" width="11.42578125" bestFit="1" customWidth="1"/>
    <col min="11" max="11" width="12.7109375" bestFit="1" customWidth="1"/>
    <col min="12" max="12" width="11.140625" bestFit="1" customWidth="1"/>
  </cols>
  <sheetData>
    <row r="1" spans="1:7" ht="23.25" customHeight="1" x14ac:dyDescent="0.25">
      <c r="A1" s="28" t="s">
        <v>25</v>
      </c>
      <c r="B1" s="25"/>
      <c r="C1" s="25"/>
      <c r="D1" s="26"/>
      <c r="E1" s="25"/>
      <c r="F1" s="25"/>
      <c r="G1" s="43"/>
    </row>
    <row r="2" spans="1:7" x14ac:dyDescent="0.25">
      <c r="A2" s="57" t="s">
        <v>18</v>
      </c>
      <c r="B2" s="32" t="s">
        <v>19</v>
      </c>
      <c r="C2" s="33" t="s">
        <v>22</v>
      </c>
      <c r="D2" s="33" t="s">
        <v>23</v>
      </c>
      <c r="E2" s="33" t="s">
        <v>16</v>
      </c>
      <c r="F2" s="18" t="s">
        <v>69</v>
      </c>
      <c r="G2" s="58" t="s">
        <v>24</v>
      </c>
    </row>
    <row r="3" spans="1:7" x14ac:dyDescent="0.25">
      <c r="A3" s="69">
        <v>1012</v>
      </c>
      <c r="B3" s="23" t="s">
        <v>93</v>
      </c>
      <c r="C3" s="8">
        <f>SUMIF(Ent_Estoque!C:C,Estoque!B3,Ent_Estoque!D:D)</f>
        <v>0</v>
      </c>
      <c r="D3" s="23">
        <f>SUMIF(Sai_Estoque!C:C,Tabela4[[#This Row],[Produto]],Sai_Estoque!D:D)</f>
        <v>0</v>
      </c>
      <c r="E3" s="24">
        <f>VLOOKUP(Tabela4[[#This Row],[Produto]],Cadastro_Produto!A:D,4,0)</f>
        <v>50</v>
      </c>
      <c r="F3" s="79">
        <f>Tabela4[[#This Row],[Custo unitário]]*Tabela4[[#This Row],[Saldo total]]</f>
        <v>0</v>
      </c>
      <c r="G3" s="56">
        <f>Tabela4[[#This Row],[Entrada]]-Tabela4[[#This Row],[Saida]]</f>
        <v>0</v>
      </c>
    </row>
    <row r="4" spans="1:7" x14ac:dyDescent="0.25">
      <c r="A4" s="69">
        <v>1011</v>
      </c>
      <c r="B4" s="23" t="s">
        <v>49</v>
      </c>
      <c r="C4" s="8">
        <f>SUMIF(Ent_Estoque!C:C,Estoque!B4,Ent_Estoque!D:D)</f>
        <v>155</v>
      </c>
      <c r="D4" s="23">
        <f>SUMIF(Sai_Estoque!C:C,Tabela4[[#This Row],[Produto]],Sai_Estoque!D:D)</f>
        <v>40</v>
      </c>
      <c r="E4" s="24">
        <f>VLOOKUP(Tabela4[[#This Row],[Produto]],Cadastro_Produto!A:D,4,0)</f>
        <v>15.05</v>
      </c>
      <c r="F4" s="79">
        <f>Tabela4[[#This Row],[Custo unitário]]*Tabela4[[#This Row],[Saldo total]]</f>
        <v>1730.75</v>
      </c>
      <c r="G4" s="56">
        <f>Tabela4[[#This Row],[Entrada]]-Tabela4[[#This Row],[Saida]]</f>
        <v>115</v>
      </c>
    </row>
    <row r="5" spans="1:7" x14ac:dyDescent="0.25">
      <c r="A5" s="8">
        <v>1001</v>
      </c>
      <c r="B5" s="8" t="s">
        <v>9</v>
      </c>
      <c r="C5" s="8">
        <f>SUMIF(Ent_Estoque!C:C,Estoque!B5,Ent_Estoque!D:D)</f>
        <v>106</v>
      </c>
      <c r="D5" s="8">
        <f>SUMIF(Sai_Estoque!C:C,Tabela4[[#This Row],[Produto]],Sai_Estoque!D:D)</f>
        <v>106</v>
      </c>
      <c r="E5" s="24">
        <f>VLOOKUP(Tabela4[[#This Row],[Produto]],Cadastro_Produto!A:D,4,0)</f>
        <v>24.9</v>
      </c>
      <c r="F5" s="79">
        <f>Tabela4[[#This Row],[Custo unitário]]*Tabela4[[#This Row],[Saldo total]]</f>
        <v>0</v>
      </c>
      <c r="G5" s="56">
        <f>Tabela4[[#This Row],[Entrada]]-Tabela4[[#This Row],[Saida]]</f>
        <v>0</v>
      </c>
    </row>
    <row r="6" spans="1:7" x14ac:dyDescent="0.25">
      <c r="A6" s="8">
        <v>1002</v>
      </c>
      <c r="B6" s="8" t="s">
        <v>31</v>
      </c>
      <c r="C6" s="8">
        <f>SUMIF(Ent_Estoque!C:C,Estoque!B6,Ent_Estoque!D:D)</f>
        <v>120</v>
      </c>
      <c r="D6" s="8">
        <f>SUMIF(Sai_Estoque!C:C,Tabela4[[#This Row],[Produto]],Sai_Estoque!D:D)</f>
        <v>89</v>
      </c>
      <c r="E6" s="24">
        <f>VLOOKUP(Tabela4[[#This Row],[Produto]],Cadastro_Produto!A:D,4,0)</f>
        <v>18.5</v>
      </c>
      <c r="F6" s="79">
        <f>Tabela4[[#This Row],[Custo unitário]]*Tabela4[[#This Row],[Saldo total]]</f>
        <v>573.5</v>
      </c>
      <c r="G6" s="56">
        <f>Tabela4[[#This Row],[Entrada]]-Tabela4[[#This Row],[Saida]]</f>
        <v>31</v>
      </c>
    </row>
    <row r="7" spans="1:7" x14ac:dyDescent="0.25">
      <c r="A7" s="8">
        <v>1003</v>
      </c>
      <c r="B7" s="8" t="s">
        <v>32</v>
      </c>
      <c r="C7" s="8">
        <f>SUMIF(Ent_Estoque!C:C,Estoque!B7,Ent_Estoque!D:D)</f>
        <v>60</v>
      </c>
      <c r="D7" s="8">
        <f>SUMIF(Sai_Estoque!C:C,Tabela4[[#This Row],[Produto]],Sai_Estoque!D:D)</f>
        <v>57</v>
      </c>
      <c r="E7" s="24">
        <f>VLOOKUP(Tabela4[[#This Row],[Produto]],Cadastro_Produto!A:D,4,0)</f>
        <v>85.9</v>
      </c>
      <c r="F7" s="79">
        <f>Tabela4[[#This Row],[Custo unitário]]*Tabela4[[#This Row],[Saldo total]]</f>
        <v>257.70000000000005</v>
      </c>
      <c r="G7" s="56">
        <f>Tabela4[[#This Row],[Entrada]]-Tabela4[[#This Row],[Saida]]</f>
        <v>3</v>
      </c>
    </row>
    <row r="8" spans="1:7" x14ac:dyDescent="0.25">
      <c r="A8" s="8">
        <v>1004</v>
      </c>
      <c r="B8" s="8" t="s">
        <v>6</v>
      </c>
      <c r="C8" s="8">
        <f>SUMIF(Ent_Estoque!C:C,Estoque!B8,Ent_Estoque!D:D)</f>
        <v>66</v>
      </c>
      <c r="D8" s="8">
        <f>SUMIF(Sai_Estoque!C:C,Tabela4[[#This Row],[Produto]],Sai_Estoque!D:D)</f>
        <v>26</v>
      </c>
      <c r="E8" s="24">
        <f>VLOOKUP(Tabela4[[#This Row],[Produto]],Cadastro_Produto!A:D,4,0)</f>
        <v>99.5</v>
      </c>
      <c r="F8" s="79">
        <f>Tabela4[[#This Row],[Custo unitário]]*Tabela4[[#This Row],[Saldo total]]</f>
        <v>3980</v>
      </c>
      <c r="G8" s="56">
        <f>Tabela4[[#This Row],[Entrada]]-Tabela4[[#This Row],[Saida]]</f>
        <v>40</v>
      </c>
    </row>
    <row r="9" spans="1:7" x14ac:dyDescent="0.25">
      <c r="A9" s="8">
        <v>1005</v>
      </c>
      <c r="B9" s="8" t="s">
        <v>34</v>
      </c>
      <c r="C9" s="8">
        <f>SUMIF(Ent_Estoque!C:C,Estoque!B9,Ent_Estoque!D:D)</f>
        <v>85</v>
      </c>
      <c r="D9" s="8">
        <f>SUMIF(Sai_Estoque!C:C,Tabela4[[#This Row],[Produto]],Sai_Estoque!D:D)</f>
        <v>57</v>
      </c>
      <c r="E9" s="24">
        <f>VLOOKUP(Tabela4[[#This Row],[Produto]],Cadastro_Produto!A:D,4,0)</f>
        <v>91.5</v>
      </c>
      <c r="F9" s="79">
        <f>Tabela4[[#This Row],[Custo unitário]]*Tabela4[[#This Row],[Saldo total]]</f>
        <v>2562</v>
      </c>
      <c r="G9" s="56">
        <f>Tabela4[[#This Row],[Entrada]]-Tabela4[[#This Row],[Saida]]</f>
        <v>28</v>
      </c>
    </row>
    <row r="10" spans="1:7" x14ac:dyDescent="0.25">
      <c r="A10" s="8">
        <v>1006</v>
      </c>
      <c r="B10" s="8" t="s">
        <v>35</v>
      </c>
      <c r="C10" s="8">
        <f>SUMIF(Ent_Estoque!C:C,Estoque!B10,Ent_Estoque!D:D)</f>
        <v>170</v>
      </c>
      <c r="D10" s="8">
        <f>SUMIF(Sai_Estoque!C:C,Tabela4[[#This Row],[Produto]],Sai_Estoque!D:D)</f>
        <v>127</v>
      </c>
      <c r="E10" s="24">
        <f>VLOOKUP(Tabela4[[#This Row],[Produto]],Cadastro_Produto!A:D,4,0)</f>
        <v>35.5</v>
      </c>
      <c r="F10" s="79">
        <f>Tabela4[[#This Row],[Custo unitário]]*Tabela4[[#This Row],[Saldo total]]</f>
        <v>1526.5</v>
      </c>
      <c r="G10" s="56">
        <f>Tabela4[[#This Row],[Entrada]]-Tabela4[[#This Row],[Saida]]</f>
        <v>43</v>
      </c>
    </row>
    <row r="11" spans="1:7" x14ac:dyDescent="0.25">
      <c r="A11" s="8">
        <v>1007</v>
      </c>
      <c r="B11" s="8" t="s">
        <v>37</v>
      </c>
      <c r="C11" s="8">
        <f>SUMIF(Ent_Estoque!C:C,Estoque!B11,Ent_Estoque!D:D)</f>
        <v>95</v>
      </c>
      <c r="D11" s="8">
        <f>SUMIF(Sai_Estoque!C:C,Tabela4[[#This Row],[Produto]],Sai_Estoque!D:D)</f>
        <v>81</v>
      </c>
      <c r="E11" s="24">
        <f>VLOOKUP(Tabela4[[#This Row],[Produto]],Cadastro_Produto!A:D,4,0)</f>
        <v>29.9</v>
      </c>
      <c r="F11" s="79">
        <f>Tabela4[[#This Row],[Custo unitário]]*Tabela4[[#This Row],[Saldo total]]</f>
        <v>418.59999999999997</v>
      </c>
      <c r="G11" s="56">
        <f>Tabela4[[#This Row],[Entrada]]-Tabela4[[#This Row],[Saida]]</f>
        <v>14</v>
      </c>
    </row>
    <row r="12" spans="1:7" x14ac:dyDescent="0.25">
      <c r="A12" s="8">
        <v>1008</v>
      </c>
      <c r="B12" s="8" t="s">
        <v>38</v>
      </c>
      <c r="C12" s="8">
        <f>SUMIF(Ent_Estoque!C:C,Estoque!B12,Ent_Estoque!D:D)</f>
        <v>74</v>
      </c>
      <c r="D12" s="8">
        <f>SUMIF(Sai_Estoque!C:C,Tabela4[[#This Row],[Produto]],Sai_Estoque!D:D)</f>
        <v>70</v>
      </c>
      <c r="E12" s="24">
        <f>VLOOKUP(Tabela4[[#This Row],[Produto]],Cadastro_Produto!A:D,4,0)</f>
        <v>32.9</v>
      </c>
      <c r="F12" s="79">
        <f>Tabela4[[#This Row],[Custo unitário]]*Tabela4[[#This Row],[Saldo total]]</f>
        <v>131.6</v>
      </c>
      <c r="G12" s="56">
        <f>Tabela4[[#This Row],[Entrada]]-Tabela4[[#This Row],[Saida]]</f>
        <v>4</v>
      </c>
    </row>
    <row r="13" spans="1:7" x14ac:dyDescent="0.25">
      <c r="A13" s="8">
        <v>1009</v>
      </c>
      <c r="B13" s="8" t="s">
        <v>40</v>
      </c>
      <c r="C13" s="8">
        <f>SUMIF(Ent_Estoque!C:C,Estoque!B13,Ent_Estoque!D:D)</f>
        <v>80</v>
      </c>
      <c r="D13" s="8">
        <f>SUMIF(Sai_Estoque!C:C,Tabela4[[#This Row],[Produto]],Sai_Estoque!D:D)</f>
        <v>70</v>
      </c>
      <c r="E13" s="24">
        <f>VLOOKUP(Tabela4[[#This Row],[Produto]],Cadastro_Produto!A:D,4,0)</f>
        <v>38.9</v>
      </c>
      <c r="F13" s="79">
        <f>Tabela4[[#This Row],[Custo unitário]]*Tabela4[[#This Row],[Saldo total]]</f>
        <v>389</v>
      </c>
      <c r="G13" s="56">
        <f>Tabela4[[#This Row],[Entrada]]-Tabela4[[#This Row],[Saida]]</f>
        <v>10</v>
      </c>
    </row>
    <row r="14" spans="1:7" x14ac:dyDescent="0.25">
      <c r="A14" s="8">
        <v>1010</v>
      </c>
      <c r="B14" s="8" t="s">
        <v>41</v>
      </c>
      <c r="C14" s="8">
        <f>SUMIF(Ent_Estoque!C:C,Estoque!B14,Ent_Estoque!D:D)</f>
        <v>115</v>
      </c>
      <c r="D14" s="8">
        <f>SUMIF(Sai_Estoque!C:C,Tabela4[[#This Row],[Produto]],Sai_Estoque!D:D)</f>
        <v>112</v>
      </c>
      <c r="E14" s="24">
        <f>VLOOKUP(Tabela4[[#This Row],[Produto]],Cadastro_Produto!A:D,4,0)</f>
        <v>18.899999999999999</v>
      </c>
      <c r="F14" s="79">
        <f>Tabela4[[#This Row],[Custo unitário]]*Tabela4[[#This Row],[Saldo total]]</f>
        <v>56.699999999999996</v>
      </c>
      <c r="G14" s="56">
        <f>Tabela4[[#This Row],[Entrada]]-Tabela4[[#This Row],[Saida]]</f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F9708-0F9C-4540-8C0E-60248F0641C9}">
  <sheetPr codeName="Planilha13"/>
  <dimension ref="A1:R147"/>
  <sheetViews>
    <sheetView showGridLines="0" showRowColHeaders="0" topLeftCell="M1" workbookViewId="0">
      <selection activeCell="AB6" sqref="AB6"/>
    </sheetView>
  </sheetViews>
  <sheetFormatPr defaultRowHeight="15" x14ac:dyDescent="0.25"/>
  <cols>
    <col min="1" max="1" width="10.7109375" style="1" customWidth="1"/>
    <col min="2" max="2" width="7.5703125" customWidth="1"/>
    <col min="3" max="3" width="17.140625" customWidth="1"/>
    <col min="4" max="4" width="9.140625" customWidth="1"/>
    <col min="5" max="5" width="13.42578125" style="2" customWidth="1"/>
    <col min="6" max="6" width="13.7109375" style="2" customWidth="1"/>
    <col min="7" max="7" width="12" style="2" customWidth="1"/>
    <col min="8" max="8" width="14.140625" style="2" customWidth="1"/>
    <col min="9" max="9" width="11.140625" style="94" customWidth="1"/>
    <col min="10" max="10" width="19.140625" style="55" customWidth="1"/>
    <col min="11" max="13" width="14.140625" style="55" customWidth="1"/>
    <col min="14" max="14" width="15.7109375" style="94" bestFit="1" customWidth="1"/>
    <col min="15" max="15" width="20.85546875" style="55" bestFit="1" customWidth="1"/>
    <col min="16" max="16" width="14.140625" style="94" customWidth="1"/>
    <col min="17" max="17" width="14.140625" style="55" customWidth="1"/>
    <col min="18" max="18" width="14.140625" style="94" customWidth="1"/>
    <col min="19" max="16384" width="9.140625" style="9"/>
  </cols>
  <sheetData>
    <row r="1" spans="1:18" ht="18.75" x14ac:dyDescent="0.25">
      <c r="A1" s="48"/>
      <c r="B1" s="43" t="s">
        <v>50</v>
      </c>
      <c r="C1" s="25"/>
      <c r="D1" s="25"/>
      <c r="E1" s="49"/>
      <c r="F1" s="51"/>
      <c r="G1" s="50"/>
      <c r="H1" s="50"/>
      <c r="I1" s="92"/>
      <c r="J1" s="53"/>
      <c r="K1" s="53"/>
      <c r="L1" s="53"/>
      <c r="M1" s="53"/>
      <c r="N1" s="92"/>
      <c r="O1" s="53"/>
      <c r="P1" s="92"/>
      <c r="Q1" s="53"/>
      <c r="R1" s="92"/>
    </row>
    <row r="2" spans="1:18" s="67" customFormat="1" x14ac:dyDescent="0.25">
      <c r="A2" s="90" t="s">
        <v>0</v>
      </c>
      <c r="B2" s="23" t="s">
        <v>18</v>
      </c>
      <c r="C2" s="23" t="s">
        <v>19</v>
      </c>
      <c r="D2" s="8" t="s">
        <v>1</v>
      </c>
      <c r="E2" s="30" t="s">
        <v>29</v>
      </c>
      <c r="F2" s="30" t="s">
        <v>2</v>
      </c>
      <c r="G2" s="30" t="s">
        <v>16</v>
      </c>
      <c r="H2" s="30" t="s">
        <v>42</v>
      </c>
      <c r="I2" s="93" t="s">
        <v>43</v>
      </c>
      <c r="J2" s="91" t="s">
        <v>44</v>
      </c>
      <c r="K2" s="91" t="s">
        <v>47</v>
      </c>
      <c r="L2" s="91" t="s">
        <v>48</v>
      </c>
      <c r="M2" s="30" t="s">
        <v>59</v>
      </c>
      <c r="N2" s="93" t="s">
        <v>65</v>
      </c>
      <c r="O2" s="30" t="s">
        <v>66</v>
      </c>
      <c r="P2" s="93" t="s">
        <v>67</v>
      </c>
      <c r="Q2" s="30" t="s">
        <v>68</v>
      </c>
      <c r="R2" s="93" t="s">
        <v>64</v>
      </c>
    </row>
    <row r="3" spans="1:18" s="67" customFormat="1" x14ac:dyDescent="0.25">
      <c r="A3" s="74">
        <v>44227</v>
      </c>
      <c r="B3" s="23">
        <v>1001</v>
      </c>
      <c r="C3" s="23" t="s">
        <v>9</v>
      </c>
      <c r="D3" s="8">
        <v>3</v>
      </c>
      <c r="E3" s="30">
        <v>50</v>
      </c>
      <c r="F3" s="52">
        <f>Tabela3[[#This Row],[Valor Unitário]]*Tabela3[[#This Row],[Quantidade]]</f>
        <v>150</v>
      </c>
      <c r="G3" s="52">
        <f>VLOOKUP(Tabela3[[#This Row],[Código]],Cadastro_Produto!B:D,3,0)</f>
        <v>24.9</v>
      </c>
      <c r="H3" s="52">
        <f>Tabela3[[#This Row],[Custo unitário]]*Tabela3[[#This Row],[Quantidade]]</f>
        <v>74.699999999999989</v>
      </c>
      <c r="I3" s="95">
        <f>Tabela3[[#This Row],[Valor total]]-Tabela3[[#This Row],[Custo total]]</f>
        <v>75.300000000000011</v>
      </c>
      <c r="J3" s="54">
        <v>123516</v>
      </c>
      <c r="K3" s="54" t="s">
        <v>61</v>
      </c>
      <c r="L3" s="54" t="s">
        <v>8</v>
      </c>
      <c r="M3" s="54">
        <v>5</v>
      </c>
      <c r="N3" s="95">
        <v>0</v>
      </c>
      <c r="O3" s="78">
        <v>0</v>
      </c>
      <c r="P3" s="95">
        <v>6.8999999999999995</v>
      </c>
      <c r="Q3" s="77">
        <v>143.1</v>
      </c>
      <c r="R3" s="93">
        <v>143.1</v>
      </c>
    </row>
    <row r="4" spans="1:18" s="67" customFormat="1" x14ac:dyDescent="0.25">
      <c r="A4" s="74">
        <v>44227</v>
      </c>
      <c r="B4" s="23">
        <v>1003</v>
      </c>
      <c r="C4" s="23" t="s">
        <v>32</v>
      </c>
      <c r="D4" s="8">
        <v>1</v>
      </c>
      <c r="E4" s="30">
        <v>191.5</v>
      </c>
      <c r="F4" s="52">
        <f>Tabela3[[#This Row],[Valor Unitário]]*Tabela3[[#This Row],[Quantidade]]</f>
        <v>191.5</v>
      </c>
      <c r="G4" s="52">
        <f>VLOOKUP(Tabela3[[#This Row],[Código]],Cadastro_Produto!B:D,3,0)</f>
        <v>85.9</v>
      </c>
      <c r="H4" s="52">
        <f>Tabela3[[#This Row],[Custo unitário]]*Tabela3[[#This Row],[Quantidade]]</f>
        <v>85.9</v>
      </c>
      <c r="I4" s="95">
        <f>Tabela3[[#This Row],[Valor total]]-Tabela3[[#This Row],[Custo total]]</f>
        <v>105.6</v>
      </c>
      <c r="J4" s="54">
        <v>123516</v>
      </c>
      <c r="K4" s="54" t="s">
        <v>61</v>
      </c>
      <c r="L4" s="54" t="s">
        <v>8</v>
      </c>
      <c r="M4" s="54">
        <v>5</v>
      </c>
      <c r="N4" s="95">
        <v>0</v>
      </c>
      <c r="O4" s="78">
        <v>0</v>
      </c>
      <c r="P4" s="95">
        <v>8.8089999999999993</v>
      </c>
      <c r="Q4" s="77">
        <v>182.691</v>
      </c>
      <c r="R4" s="93">
        <v>182.691</v>
      </c>
    </row>
    <row r="5" spans="1:18" s="67" customFormat="1" x14ac:dyDescent="0.25">
      <c r="A5" s="74">
        <v>44227</v>
      </c>
      <c r="B5" s="23" t="e">
        <v>#N/A</v>
      </c>
      <c r="C5" s="23"/>
      <c r="D5" s="8"/>
      <c r="E5" s="30"/>
      <c r="F5" s="52">
        <f>Tabela3[[#This Row],[Valor Unitário]]*Tabela3[[#This Row],[Quantidade]]</f>
        <v>0</v>
      </c>
      <c r="G5" s="52" t="e">
        <f>VLOOKUP(Tabela3[[#This Row],[Código]],Cadastro_Produto!B:D,3,0)</f>
        <v>#N/A</v>
      </c>
      <c r="H5" s="52" t="e">
        <f>Tabela3[[#This Row],[Custo unitário]]*Tabela3[[#This Row],[Quantidade]]</f>
        <v>#N/A</v>
      </c>
      <c r="I5" s="95" t="e">
        <f>Tabela3[[#This Row],[Valor total]]-Tabela3[[#This Row],[Custo total]]</f>
        <v>#N/A</v>
      </c>
      <c r="J5" s="54">
        <v>123516</v>
      </c>
      <c r="K5" s="54" t="s">
        <v>61</v>
      </c>
      <c r="L5" s="54" t="s">
        <v>8</v>
      </c>
      <c r="M5" s="54">
        <v>5</v>
      </c>
      <c r="N5" s="95">
        <v>0</v>
      </c>
      <c r="O5" s="78">
        <v>0</v>
      </c>
      <c r="P5" s="95">
        <v>0</v>
      </c>
      <c r="Q5" s="77">
        <v>0</v>
      </c>
      <c r="R5" s="93">
        <v>0</v>
      </c>
    </row>
    <row r="6" spans="1:18" s="67" customFormat="1" x14ac:dyDescent="0.25">
      <c r="A6" s="74">
        <v>44227</v>
      </c>
      <c r="B6" s="23" t="e">
        <v>#N/A</v>
      </c>
      <c r="C6" s="23"/>
      <c r="D6" s="8"/>
      <c r="E6" s="30"/>
      <c r="F6" s="52">
        <f>Tabela3[[#This Row],[Valor Unitário]]*Tabela3[[#This Row],[Quantidade]]</f>
        <v>0</v>
      </c>
      <c r="G6" s="52" t="e">
        <f>VLOOKUP(Tabela3[[#This Row],[Código]],Cadastro_Produto!B:D,3,0)</f>
        <v>#N/A</v>
      </c>
      <c r="H6" s="52" t="e">
        <f>Tabela3[[#This Row],[Custo unitário]]*Tabela3[[#This Row],[Quantidade]]</f>
        <v>#N/A</v>
      </c>
      <c r="I6" s="95" t="e">
        <f>Tabela3[[#This Row],[Valor total]]-Tabela3[[#This Row],[Custo total]]</f>
        <v>#N/A</v>
      </c>
      <c r="J6" s="54">
        <v>123516</v>
      </c>
      <c r="K6" s="54" t="s">
        <v>61</v>
      </c>
      <c r="L6" s="54" t="s">
        <v>8</v>
      </c>
      <c r="M6" s="54">
        <v>5</v>
      </c>
      <c r="N6" s="95">
        <v>0</v>
      </c>
      <c r="O6" s="78">
        <v>0</v>
      </c>
      <c r="P6" s="95">
        <v>0</v>
      </c>
      <c r="Q6" s="77">
        <v>0</v>
      </c>
      <c r="R6" s="93">
        <v>0</v>
      </c>
    </row>
    <row r="7" spans="1:18" s="67" customFormat="1" x14ac:dyDescent="0.25">
      <c r="A7" s="74">
        <v>44227</v>
      </c>
      <c r="B7" s="23" t="e">
        <v>#N/A</v>
      </c>
      <c r="C7" s="23"/>
      <c r="D7" s="8"/>
      <c r="E7" s="30"/>
      <c r="F7" s="52">
        <f>Tabela3[[#This Row],[Valor Unitário]]*Tabela3[[#This Row],[Quantidade]]</f>
        <v>0</v>
      </c>
      <c r="G7" s="52" t="e">
        <f>VLOOKUP(Tabela3[[#This Row],[Código]],Cadastro_Produto!B:D,3,0)</f>
        <v>#N/A</v>
      </c>
      <c r="H7" s="52" t="e">
        <f>Tabela3[[#This Row],[Custo unitário]]*Tabela3[[#This Row],[Quantidade]]</f>
        <v>#N/A</v>
      </c>
      <c r="I7" s="95" t="e">
        <f>Tabela3[[#This Row],[Valor total]]-Tabela3[[#This Row],[Custo total]]</f>
        <v>#N/A</v>
      </c>
      <c r="J7" s="54">
        <v>123516</v>
      </c>
      <c r="K7" s="54" t="s">
        <v>61</v>
      </c>
      <c r="L7" s="54" t="s">
        <v>8</v>
      </c>
      <c r="M7" s="54">
        <v>5</v>
      </c>
      <c r="N7" s="95">
        <v>0</v>
      </c>
      <c r="O7" s="78">
        <v>0</v>
      </c>
      <c r="P7" s="95">
        <v>0</v>
      </c>
      <c r="Q7" s="77">
        <v>0</v>
      </c>
      <c r="R7" s="93">
        <v>0</v>
      </c>
    </row>
    <row r="8" spans="1:18" s="67" customFormat="1" x14ac:dyDescent="0.25">
      <c r="A8" s="74">
        <v>44227</v>
      </c>
      <c r="B8" s="23">
        <v>1008</v>
      </c>
      <c r="C8" s="23" t="s">
        <v>38</v>
      </c>
      <c r="D8" s="8">
        <v>10</v>
      </c>
      <c r="E8" s="30">
        <v>50</v>
      </c>
      <c r="F8" s="52">
        <f>Tabela3[[#This Row],[Valor Unitário]]*Tabela3[[#This Row],[Quantidade]]</f>
        <v>500</v>
      </c>
      <c r="G8" s="52">
        <f>VLOOKUP(Tabela3[[#This Row],[Código]],Cadastro_Produto!B:D,3,0)</f>
        <v>32.9</v>
      </c>
      <c r="H8" s="52">
        <f>Tabela3[[#This Row],[Custo unitário]]*Tabela3[[#This Row],[Quantidade]]</f>
        <v>329</v>
      </c>
      <c r="I8" s="95">
        <f>Tabela3[[#This Row],[Valor total]]-Tabela3[[#This Row],[Custo total]]</f>
        <v>171</v>
      </c>
      <c r="J8" s="54">
        <v>123515</v>
      </c>
      <c r="K8" s="54" t="s">
        <v>61</v>
      </c>
      <c r="L8" s="54" t="s">
        <v>75</v>
      </c>
      <c r="M8" s="54">
        <v>7</v>
      </c>
      <c r="N8" s="95">
        <v>0</v>
      </c>
      <c r="O8" s="78">
        <v>0</v>
      </c>
      <c r="P8" s="95">
        <v>29.2</v>
      </c>
      <c r="Q8" s="77">
        <v>470.8</v>
      </c>
      <c r="R8" s="93">
        <v>470.8</v>
      </c>
    </row>
    <row r="9" spans="1:18" s="67" customFormat="1" x14ac:dyDescent="0.25">
      <c r="A9" s="74">
        <v>44227</v>
      </c>
      <c r="B9" s="23" t="e">
        <v>#N/A</v>
      </c>
      <c r="C9" s="23"/>
      <c r="D9" s="8"/>
      <c r="E9" s="30"/>
      <c r="F9" s="52">
        <f>Tabela3[[#This Row],[Valor Unitário]]*Tabela3[[#This Row],[Quantidade]]</f>
        <v>0</v>
      </c>
      <c r="G9" s="52" t="e">
        <f>VLOOKUP(Tabela3[[#This Row],[Código]],Cadastro_Produto!B:D,3,0)</f>
        <v>#N/A</v>
      </c>
      <c r="H9" s="52" t="e">
        <f>Tabela3[[#This Row],[Custo unitário]]*Tabela3[[#This Row],[Quantidade]]</f>
        <v>#N/A</v>
      </c>
      <c r="I9" s="95" t="e">
        <f>Tabela3[[#This Row],[Valor total]]-Tabela3[[#This Row],[Custo total]]</f>
        <v>#N/A</v>
      </c>
      <c r="J9" s="54">
        <v>123515</v>
      </c>
      <c r="K9" s="54" t="s">
        <v>61</v>
      </c>
      <c r="L9" s="54" t="s">
        <v>75</v>
      </c>
      <c r="M9" s="54">
        <v>7</v>
      </c>
      <c r="N9" s="95">
        <v>0</v>
      </c>
      <c r="O9" s="78">
        <v>0</v>
      </c>
      <c r="P9" s="95">
        <v>0</v>
      </c>
      <c r="Q9" s="77">
        <v>0</v>
      </c>
      <c r="R9" s="93">
        <v>0</v>
      </c>
    </row>
    <row r="10" spans="1:18" s="67" customFormat="1" x14ac:dyDescent="0.25">
      <c r="A10" s="74">
        <v>44227</v>
      </c>
      <c r="B10" s="23" t="e">
        <v>#N/A</v>
      </c>
      <c r="C10" s="23"/>
      <c r="D10" s="8"/>
      <c r="E10" s="30"/>
      <c r="F10" s="52">
        <f>Tabela3[[#This Row],[Valor Unitário]]*Tabela3[[#This Row],[Quantidade]]</f>
        <v>0</v>
      </c>
      <c r="G10" s="52" t="e">
        <f>VLOOKUP(Tabela3[[#This Row],[Código]],Cadastro_Produto!B:D,3,0)</f>
        <v>#N/A</v>
      </c>
      <c r="H10" s="52" t="e">
        <f>Tabela3[[#This Row],[Custo unitário]]*Tabela3[[#This Row],[Quantidade]]</f>
        <v>#N/A</v>
      </c>
      <c r="I10" s="95" t="e">
        <f>Tabela3[[#This Row],[Valor total]]-Tabela3[[#This Row],[Custo total]]</f>
        <v>#N/A</v>
      </c>
      <c r="J10" s="54">
        <v>123515</v>
      </c>
      <c r="K10" s="54" t="s">
        <v>61</v>
      </c>
      <c r="L10" s="54" t="s">
        <v>75</v>
      </c>
      <c r="M10" s="54">
        <v>7</v>
      </c>
      <c r="N10" s="95">
        <v>0</v>
      </c>
      <c r="O10" s="78">
        <v>0</v>
      </c>
      <c r="P10" s="95">
        <v>0</v>
      </c>
      <c r="Q10" s="77">
        <v>0</v>
      </c>
      <c r="R10" s="93">
        <v>0</v>
      </c>
    </row>
    <row r="11" spans="1:18" s="67" customFormat="1" x14ac:dyDescent="0.25">
      <c r="A11" s="74">
        <v>44227</v>
      </c>
      <c r="B11" s="23" t="e">
        <v>#N/A</v>
      </c>
      <c r="C11" s="23"/>
      <c r="D11" s="8"/>
      <c r="E11" s="30"/>
      <c r="F11" s="52">
        <f>Tabela3[[#This Row],[Valor Unitário]]*Tabela3[[#This Row],[Quantidade]]</f>
        <v>0</v>
      </c>
      <c r="G11" s="52" t="e">
        <f>VLOOKUP(Tabela3[[#This Row],[Código]],Cadastro_Produto!B:D,3,0)</f>
        <v>#N/A</v>
      </c>
      <c r="H11" s="52" t="e">
        <f>Tabela3[[#This Row],[Custo unitário]]*Tabela3[[#This Row],[Quantidade]]</f>
        <v>#N/A</v>
      </c>
      <c r="I11" s="95" t="e">
        <f>Tabela3[[#This Row],[Valor total]]-Tabela3[[#This Row],[Custo total]]</f>
        <v>#N/A</v>
      </c>
      <c r="J11" s="54">
        <v>123515</v>
      </c>
      <c r="K11" s="54" t="s">
        <v>61</v>
      </c>
      <c r="L11" s="54" t="s">
        <v>75</v>
      </c>
      <c r="M11" s="54">
        <v>7</v>
      </c>
      <c r="N11" s="95">
        <v>0</v>
      </c>
      <c r="O11" s="78">
        <v>0</v>
      </c>
      <c r="P11" s="95">
        <v>0</v>
      </c>
      <c r="Q11" s="77">
        <v>0</v>
      </c>
      <c r="R11" s="93">
        <v>0</v>
      </c>
    </row>
    <row r="12" spans="1:18" s="67" customFormat="1" x14ac:dyDescent="0.25">
      <c r="A12" s="74">
        <v>44227</v>
      </c>
      <c r="B12" s="23" t="e">
        <v>#N/A</v>
      </c>
      <c r="C12" s="23"/>
      <c r="D12" s="8"/>
      <c r="E12" s="30"/>
      <c r="F12" s="52">
        <f>Tabela3[[#This Row],[Valor Unitário]]*Tabela3[[#This Row],[Quantidade]]</f>
        <v>0</v>
      </c>
      <c r="G12" s="52" t="e">
        <f>VLOOKUP(Tabela3[[#This Row],[Código]],Cadastro_Produto!B:D,3,0)</f>
        <v>#N/A</v>
      </c>
      <c r="H12" s="52" t="e">
        <f>Tabela3[[#This Row],[Custo unitário]]*Tabela3[[#This Row],[Quantidade]]</f>
        <v>#N/A</v>
      </c>
      <c r="I12" s="95" t="e">
        <f>Tabela3[[#This Row],[Valor total]]-Tabela3[[#This Row],[Custo total]]</f>
        <v>#N/A</v>
      </c>
      <c r="J12" s="54">
        <v>123515</v>
      </c>
      <c r="K12" s="54" t="s">
        <v>61</v>
      </c>
      <c r="L12" s="54" t="s">
        <v>75</v>
      </c>
      <c r="M12" s="54">
        <v>7</v>
      </c>
      <c r="N12" s="95">
        <v>0</v>
      </c>
      <c r="O12" s="78">
        <v>0</v>
      </c>
      <c r="P12" s="95">
        <v>0</v>
      </c>
      <c r="Q12" s="77">
        <v>0</v>
      </c>
      <c r="R12" s="93">
        <v>0</v>
      </c>
    </row>
    <row r="13" spans="1:18" s="67" customFormat="1" x14ac:dyDescent="0.25">
      <c r="A13" s="74">
        <v>44227</v>
      </c>
      <c r="B13" s="23">
        <v>1003</v>
      </c>
      <c r="C13" s="23" t="s">
        <v>32</v>
      </c>
      <c r="D13" s="8">
        <v>1</v>
      </c>
      <c r="E13" s="30">
        <v>199.5</v>
      </c>
      <c r="F13" s="52">
        <f>Tabela3[[#This Row],[Valor Unitário]]*Tabela3[[#This Row],[Quantidade]]</f>
        <v>199.5</v>
      </c>
      <c r="G13" s="52">
        <f>VLOOKUP(Tabela3[[#This Row],[Código]],Cadastro_Produto!B:D,3,0)</f>
        <v>85.9</v>
      </c>
      <c r="H13" s="52">
        <f>Tabela3[[#This Row],[Custo unitário]]*Tabela3[[#This Row],[Quantidade]]</f>
        <v>85.9</v>
      </c>
      <c r="I13" s="95">
        <f>Tabela3[[#This Row],[Valor total]]-Tabela3[[#This Row],[Custo total]]</f>
        <v>113.6</v>
      </c>
      <c r="J13" s="54">
        <v>123514</v>
      </c>
      <c r="K13" s="54" t="s">
        <v>62</v>
      </c>
      <c r="L13" s="54" t="s">
        <v>75</v>
      </c>
      <c r="M13" s="54"/>
      <c r="N13" s="95">
        <v>3.9700500000000001</v>
      </c>
      <c r="O13" s="78">
        <v>195.52995000000001</v>
      </c>
      <c r="P13" s="95">
        <v>0</v>
      </c>
      <c r="Q13" s="77">
        <v>0</v>
      </c>
      <c r="R13" s="93">
        <v>195.52995000000001</v>
      </c>
    </row>
    <row r="14" spans="1:18" s="67" customFormat="1" x14ac:dyDescent="0.25">
      <c r="A14" s="74">
        <v>44227</v>
      </c>
      <c r="B14" s="23" t="e">
        <v>#N/A</v>
      </c>
      <c r="C14" s="23"/>
      <c r="D14" s="8"/>
      <c r="E14" s="30"/>
      <c r="F14" s="52">
        <f>Tabela3[[#This Row],[Valor Unitário]]*Tabela3[[#This Row],[Quantidade]]</f>
        <v>0</v>
      </c>
      <c r="G14" s="52" t="e">
        <f>VLOOKUP(Tabela3[[#This Row],[Código]],Cadastro_Produto!B:D,3,0)</f>
        <v>#N/A</v>
      </c>
      <c r="H14" s="52" t="e">
        <f>Tabela3[[#This Row],[Custo unitário]]*Tabela3[[#This Row],[Quantidade]]</f>
        <v>#N/A</v>
      </c>
      <c r="I14" s="95" t="e">
        <f>Tabela3[[#This Row],[Valor total]]-Tabela3[[#This Row],[Custo total]]</f>
        <v>#N/A</v>
      </c>
      <c r="J14" s="54">
        <v>123514</v>
      </c>
      <c r="K14" s="54" t="s">
        <v>62</v>
      </c>
      <c r="L14" s="54" t="s">
        <v>75</v>
      </c>
      <c r="M14" s="54"/>
      <c r="N14" s="95">
        <v>0</v>
      </c>
      <c r="O14" s="78">
        <v>0</v>
      </c>
      <c r="P14" s="95">
        <v>0</v>
      </c>
      <c r="Q14" s="77">
        <v>0</v>
      </c>
      <c r="R14" s="93">
        <v>0</v>
      </c>
    </row>
    <row r="15" spans="1:18" s="67" customFormat="1" x14ac:dyDescent="0.25">
      <c r="A15" s="74">
        <v>44227</v>
      </c>
      <c r="B15" s="23" t="e">
        <v>#N/A</v>
      </c>
      <c r="C15" s="23"/>
      <c r="D15" s="8"/>
      <c r="E15" s="30"/>
      <c r="F15" s="52">
        <f>Tabela3[[#This Row],[Valor Unitário]]*Tabela3[[#This Row],[Quantidade]]</f>
        <v>0</v>
      </c>
      <c r="G15" s="52" t="e">
        <f>VLOOKUP(Tabela3[[#This Row],[Código]],Cadastro_Produto!B:D,3,0)</f>
        <v>#N/A</v>
      </c>
      <c r="H15" s="52" t="e">
        <f>Tabela3[[#This Row],[Custo unitário]]*Tabela3[[#This Row],[Quantidade]]</f>
        <v>#N/A</v>
      </c>
      <c r="I15" s="95" t="e">
        <f>Tabela3[[#This Row],[Valor total]]-Tabela3[[#This Row],[Custo total]]</f>
        <v>#N/A</v>
      </c>
      <c r="J15" s="54">
        <v>123514</v>
      </c>
      <c r="K15" s="54" t="s">
        <v>62</v>
      </c>
      <c r="L15" s="54" t="s">
        <v>75</v>
      </c>
      <c r="M15" s="54"/>
      <c r="N15" s="95">
        <v>0</v>
      </c>
      <c r="O15" s="78">
        <v>0</v>
      </c>
      <c r="P15" s="95">
        <v>0</v>
      </c>
      <c r="Q15" s="77">
        <v>0</v>
      </c>
      <c r="R15" s="93">
        <v>0</v>
      </c>
    </row>
    <row r="16" spans="1:18" s="67" customFormat="1" x14ac:dyDescent="0.25">
      <c r="A16" s="74">
        <v>44227</v>
      </c>
      <c r="B16" s="23" t="e">
        <v>#N/A</v>
      </c>
      <c r="C16" s="23"/>
      <c r="D16" s="8"/>
      <c r="E16" s="30"/>
      <c r="F16" s="52">
        <f>Tabela3[[#This Row],[Valor Unitário]]*Tabela3[[#This Row],[Quantidade]]</f>
        <v>0</v>
      </c>
      <c r="G16" s="52" t="e">
        <f>VLOOKUP(Tabela3[[#This Row],[Código]],Cadastro_Produto!B:D,3,0)</f>
        <v>#N/A</v>
      </c>
      <c r="H16" s="52" t="e">
        <f>Tabela3[[#This Row],[Custo unitário]]*Tabela3[[#This Row],[Quantidade]]</f>
        <v>#N/A</v>
      </c>
      <c r="I16" s="95" t="e">
        <f>Tabela3[[#This Row],[Valor total]]-Tabela3[[#This Row],[Custo total]]</f>
        <v>#N/A</v>
      </c>
      <c r="J16" s="54">
        <v>123514</v>
      </c>
      <c r="K16" s="54" t="s">
        <v>62</v>
      </c>
      <c r="L16" s="54" t="s">
        <v>75</v>
      </c>
      <c r="M16" s="54"/>
      <c r="N16" s="95">
        <v>0</v>
      </c>
      <c r="O16" s="78">
        <v>0</v>
      </c>
      <c r="P16" s="95">
        <v>0</v>
      </c>
      <c r="Q16" s="77">
        <v>0</v>
      </c>
      <c r="R16" s="93">
        <v>0</v>
      </c>
    </row>
    <row r="17" spans="1:18" s="67" customFormat="1" x14ac:dyDescent="0.25">
      <c r="A17" s="74">
        <v>44227</v>
      </c>
      <c r="B17" s="23" t="e">
        <v>#N/A</v>
      </c>
      <c r="C17" s="23"/>
      <c r="D17" s="8"/>
      <c r="E17" s="30"/>
      <c r="F17" s="52">
        <f>Tabela3[[#This Row],[Valor Unitário]]*Tabela3[[#This Row],[Quantidade]]</f>
        <v>0</v>
      </c>
      <c r="G17" s="52" t="e">
        <f>VLOOKUP(Tabela3[[#This Row],[Código]],Cadastro_Produto!B:D,3,0)</f>
        <v>#N/A</v>
      </c>
      <c r="H17" s="52" t="e">
        <f>Tabela3[[#This Row],[Custo unitário]]*Tabela3[[#This Row],[Quantidade]]</f>
        <v>#N/A</v>
      </c>
      <c r="I17" s="95" t="e">
        <f>Tabela3[[#This Row],[Valor total]]-Tabela3[[#This Row],[Custo total]]</f>
        <v>#N/A</v>
      </c>
      <c r="J17" s="54">
        <v>123514</v>
      </c>
      <c r="K17" s="54" t="s">
        <v>62</v>
      </c>
      <c r="L17" s="54" t="s">
        <v>75</v>
      </c>
      <c r="M17" s="54"/>
      <c r="N17" s="95">
        <v>0</v>
      </c>
      <c r="O17" s="78">
        <v>0</v>
      </c>
      <c r="P17" s="95">
        <v>0</v>
      </c>
      <c r="Q17" s="77">
        <v>0</v>
      </c>
      <c r="R17" s="93">
        <v>0</v>
      </c>
    </row>
    <row r="18" spans="1:18" s="67" customFormat="1" x14ac:dyDescent="0.25">
      <c r="A18" s="74">
        <v>44227</v>
      </c>
      <c r="B18" s="23">
        <v>1004</v>
      </c>
      <c r="C18" s="23" t="s">
        <v>6</v>
      </c>
      <c r="D18" s="8">
        <v>1</v>
      </c>
      <c r="E18" s="30">
        <v>200</v>
      </c>
      <c r="F18" s="52">
        <f>Tabela3[[#This Row],[Valor Unitário]]*Tabela3[[#This Row],[Quantidade]]</f>
        <v>200</v>
      </c>
      <c r="G18" s="52">
        <f>VLOOKUP(Tabela3[[#This Row],[Código]],Cadastro_Produto!B:D,3,0)</f>
        <v>99.5</v>
      </c>
      <c r="H18" s="52">
        <f>Tabela3[[#This Row],[Custo unitário]]*Tabela3[[#This Row],[Quantidade]]</f>
        <v>99.5</v>
      </c>
      <c r="I18" s="95">
        <f>Tabela3[[#This Row],[Valor total]]-Tabela3[[#This Row],[Custo total]]</f>
        <v>100.5</v>
      </c>
      <c r="J18" s="54">
        <v>123513</v>
      </c>
      <c r="K18" s="54" t="s">
        <v>61</v>
      </c>
      <c r="L18" s="54" t="s">
        <v>8</v>
      </c>
      <c r="M18" s="54">
        <v>3</v>
      </c>
      <c r="N18" s="95">
        <v>0</v>
      </c>
      <c r="O18" s="78">
        <v>0</v>
      </c>
      <c r="P18" s="95">
        <v>7.88</v>
      </c>
      <c r="Q18" s="77">
        <v>192.12</v>
      </c>
      <c r="R18" s="93">
        <v>192.12</v>
      </c>
    </row>
    <row r="19" spans="1:18" s="67" customFormat="1" x14ac:dyDescent="0.25">
      <c r="A19" s="74">
        <v>44227</v>
      </c>
      <c r="B19" s="23" t="e">
        <v>#N/A</v>
      </c>
      <c r="C19" s="23"/>
      <c r="D19" s="8"/>
      <c r="E19" s="30"/>
      <c r="F19" s="52">
        <f>Tabela3[[#This Row],[Valor Unitário]]*Tabela3[[#This Row],[Quantidade]]</f>
        <v>0</v>
      </c>
      <c r="G19" s="52" t="e">
        <f>VLOOKUP(Tabela3[[#This Row],[Código]],Cadastro_Produto!B:D,3,0)</f>
        <v>#N/A</v>
      </c>
      <c r="H19" s="52" t="e">
        <f>Tabela3[[#This Row],[Custo unitário]]*Tabela3[[#This Row],[Quantidade]]</f>
        <v>#N/A</v>
      </c>
      <c r="I19" s="95" t="e">
        <f>Tabela3[[#This Row],[Valor total]]-Tabela3[[#This Row],[Custo total]]</f>
        <v>#N/A</v>
      </c>
      <c r="J19" s="54">
        <v>123513</v>
      </c>
      <c r="K19" s="54" t="s">
        <v>61</v>
      </c>
      <c r="L19" s="54" t="s">
        <v>8</v>
      </c>
      <c r="M19" s="54">
        <v>3</v>
      </c>
      <c r="N19" s="95">
        <v>0</v>
      </c>
      <c r="O19" s="78">
        <v>0</v>
      </c>
      <c r="P19" s="95">
        <v>0</v>
      </c>
      <c r="Q19" s="77">
        <v>0</v>
      </c>
      <c r="R19" s="93">
        <v>0</v>
      </c>
    </row>
    <row r="20" spans="1:18" s="67" customFormat="1" x14ac:dyDescent="0.25">
      <c r="A20" s="74">
        <v>44227</v>
      </c>
      <c r="B20" s="23" t="e">
        <v>#N/A</v>
      </c>
      <c r="C20" s="23"/>
      <c r="D20" s="8"/>
      <c r="E20" s="30"/>
      <c r="F20" s="52">
        <f>Tabela3[[#This Row],[Valor Unitário]]*Tabela3[[#This Row],[Quantidade]]</f>
        <v>0</v>
      </c>
      <c r="G20" s="52" t="e">
        <f>VLOOKUP(Tabela3[[#This Row],[Código]],Cadastro_Produto!B:D,3,0)</f>
        <v>#N/A</v>
      </c>
      <c r="H20" s="52" t="e">
        <f>Tabela3[[#This Row],[Custo unitário]]*Tabela3[[#This Row],[Quantidade]]</f>
        <v>#N/A</v>
      </c>
      <c r="I20" s="95" t="e">
        <f>Tabela3[[#This Row],[Valor total]]-Tabela3[[#This Row],[Custo total]]</f>
        <v>#N/A</v>
      </c>
      <c r="J20" s="54">
        <v>123513</v>
      </c>
      <c r="K20" s="54" t="s">
        <v>61</v>
      </c>
      <c r="L20" s="54" t="s">
        <v>8</v>
      </c>
      <c r="M20" s="54">
        <v>3</v>
      </c>
      <c r="N20" s="95">
        <v>0</v>
      </c>
      <c r="O20" s="78">
        <v>0</v>
      </c>
      <c r="P20" s="95">
        <v>0</v>
      </c>
      <c r="Q20" s="77">
        <v>0</v>
      </c>
      <c r="R20" s="93">
        <v>0</v>
      </c>
    </row>
    <row r="21" spans="1:18" s="67" customFormat="1" x14ac:dyDescent="0.25">
      <c r="A21" s="74">
        <v>44227</v>
      </c>
      <c r="B21" s="23" t="e">
        <v>#N/A</v>
      </c>
      <c r="C21" s="23"/>
      <c r="D21" s="8"/>
      <c r="E21" s="30"/>
      <c r="F21" s="52">
        <f>Tabela3[[#This Row],[Valor Unitário]]*Tabela3[[#This Row],[Quantidade]]</f>
        <v>0</v>
      </c>
      <c r="G21" s="52" t="e">
        <f>VLOOKUP(Tabela3[[#This Row],[Código]],Cadastro_Produto!B:D,3,0)</f>
        <v>#N/A</v>
      </c>
      <c r="H21" s="52" t="e">
        <f>Tabela3[[#This Row],[Custo unitário]]*Tabela3[[#This Row],[Quantidade]]</f>
        <v>#N/A</v>
      </c>
      <c r="I21" s="95" t="e">
        <f>Tabela3[[#This Row],[Valor total]]-Tabela3[[#This Row],[Custo total]]</f>
        <v>#N/A</v>
      </c>
      <c r="J21" s="54">
        <v>123513</v>
      </c>
      <c r="K21" s="54" t="s">
        <v>61</v>
      </c>
      <c r="L21" s="54" t="s">
        <v>8</v>
      </c>
      <c r="M21" s="54">
        <v>3</v>
      </c>
      <c r="N21" s="95">
        <v>0</v>
      </c>
      <c r="O21" s="78">
        <v>0</v>
      </c>
      <c r="P21" s="95">
        <v>0</v>
      </c>
      <c r="Q21" s="77">
        <v>0</v>
      </c>
      <c r="R21" s="93">
        <v>0</v>
      </c>
    </row>
    <row r="22" spans="1:18" s="67" customFormat="1" x14ac:dyDescent="0.25">
      <c r="A22" s="74">
        <v>44227</v>
      </c>
      <c r="B22" s="23" t="e">
        <v>#N/A</v>
      </c>
      <c r="C22" s="23"/>
      <c r="D22" s="8"/>
      <c r="E22" s="30"/>
      <c r="F22" s="52">
        <f>Tabela3[[#This Row],[Valor Unitário]]*Tabela3[[#This Row],[Quantidade]]</f>
        <v>0</v>
      </c>
      <c r="G22" s="52" t="e">
        <f>VLOOKUP(Tabela3[[#This Row],[Código]],Cadastro_Produto!B:D,3,0)</f>
        <v>#N/A</v>
      </c>
      <c r="H22" s="52" t="e">
        <f>Tabela3[[#This Row],[Custo unitário]]*Tabela3[[#This Row],[Quantidade]]</f>
        <v>#N/A</v>
      </c>
      <c r="I22" s="95" t="e">
        <f>Tabela3[[#This Row],[Valor total]]-Tabela3[[#This Row],[Custo total]]</f>
        <v>#N/A</v>
      </c>
      <c r="J22" s="54">
        <v>123513</v>
      </c>
      <c r="K22" s="54" t="s">
        <v>61</v>
      </c>
      <c r="L22" s="54" t="s">
        <v>8</v>
      </c>
      <c r="M22" s="54">
        <v>3</v>
      </c>
      <c r="N22" s="95">
        <v>0</v>
      </c>
      <c r="O22" s="78">
        <v>0</v>
      </c>
      <c r="P22" s="95">
        <v>0</v>
      </c>
      <c r="Q22" s="77">
        <v>0</v>
      </c>
      <c r="R22" s="93">
        <v>0</v>
      </c>
    </row>
    <row r="23" spans="1:18" s="67" customFormat="1" x14ac:dyDescent="0.25">
      <c r="A23" s="74">
        <v>44227</v>
      </c>
      <c r="B23" s="23">
        <v>1001</v>
      </c>
      <c r="C23" s="23" t="s">
        <v>9</v>
      </c>
      <c r="D23" s="8">
        <v>2</v>
      </c>
      <c r="E23" s="30">
        <v>65</v>
      </c>
      <c r="F23" s="52">
        <f>Tabela3[[#This Row],[Valor Unitário]]*Tabela3[[#This Row],[Quantidade]]</f>
        <v>130</v>
      </c>
      <c r="G23" s="52">
        <f>VLOOKUP(Tabela3[[#This Row],[Código]],Cadastro_Produto!B:D,3,0)</f>
        <v>24.9</v>
      </c>
      <c r="H23" s="52">
        <f>Tabela3[[#This Row],[Custo unitário]]*Tabela3[[#This Row],[Quantidade]]</f>
        <v>49.8</v>
      </c>
      <c r="I23" s="95">
        <f>Tabela3[[#This Row],[Valor total]]-Tabela3[[#This Row],[Custo total]]</f>
        <v>80.2</v>
      </c>
      <c r="J23" s="54">
        <v>123512</v>
      </c>
      <c r="K23" s="54" t="s">
        <v>61</v>
      </c>
      <c r="L23" s="54" t="s">
        <v>8</v>
      </c>
      <c r="M23" s="54">
        <v>3</v>
      </c>
      <c r="N23" s="95">
        <v>0</v>
      </c>
      <c r="O23" s="78">
        <v>0</v>
      </c>
      <c r="P23" s="95">
        <v>5.1219999999999999</v>
      </c>
      <c r="Q23" s="77">
        <v>124.878</v>
      </c>
      <c r="R23" s="93">
        <v>124.878</v>
      </c>
    </row>
    <row r="24" spans="1:18" s="67" customFormat="1" x14ac:dyDescent="0.25">
      <c r="A24" s="74">
        <v>44227</v>
      </c>
      <c r="B24" s="23">
        <v>1002</v>
      </c>
      <c r="C24" s="23" t="s">
        <v>31</v>
      </c>
      <c r="D24" s="8">
        <v>2</v>
      </c>
      <c r="E24" s="30">
        <v>55</v>
      </c>
      <c r="F24" s="52">
        <f>Tabela3[[#This Row],[Valor Unitário]]*Tabela3[[#This Row],[Quantidade]]</f>
        <v>110</v>
      </c>
      <c r="G24" s="52">
        <f>VLOOKUP(Tabela3[[#This Row],[Código]],Cadastro_Produto!B:D,3,0)</f>
        <v>18.5</v>
      </c>
      <c r="H24" s="52">
        <f>Tabela3[[#This Row],[Custo unitário]]*Tabela3[[#This Row],[Quantidade]]</f>
        <v>37</v>
      </c>
      <c r="I24" s="95">
        <f>Tabela3[[#This Row],[Valor total]]-Tabela3[[#This Row],[Custo total]]</f>
        <v>73</v>
      </c>
      <c r="J24" s="54">
        <v>123512</v>
      </c>
      <c r="K24" s="54" t="s">
        <v>61</v>
      </c>
      <c r="L24" s="54" t="s">
        <v>8</v>
      </c>
      <c r="M24" s="54">
        <v>3</v>
      </c>
      <c r="N24" s="95">
        <v>0</v>
      </c>
      <c r="O24" s="78">
        <v>0</v>
      </c>
      <c r="P24" s="95">
        <v>4.3339999999999996</v>
      </c>
      <c r="Q24" s="77">
        <v>105.666</v>
      </c>
      <c r="R24" s="93">
        <v>105.666</v>
      </c>
    </row>
    <row r="25" spans="1:18" s="67" customFormat="1" x14ac:dyDescent="0.25">
      <c r="A25" s="74">
        <v>44227</v>
      </c>
      <c r="B25" s="23" t="e">
        <v>#N/A</v>
      </c>
      <c r="C25" s="23"/>
      <c r="D25" s="8"/>
      <c r="E25" s="30"/>
      <c r="F25" s="52">
        <f>Tabela3[[#This Row],[Valor Unitário]]*Tabela3[[#This Row],[Quantidade]]</f>
        <v>0</v>
      </c>
      <c r="G25" s="52" t="e">
        <f>VLOOKUP(Tabela3[[#This Row],[Código]],Cadastro_Produto!B:D,3,0)</f>
        <v>#N/A</v>
      </c>
      <c r="H25" s="52" t="e">
        <f>Tabela3[[#This Row],[Custo unitário]]*Tabela3[[#This Row],[Quantidade]]</f>
        <v>#N/A</v>
      </c>
      <c r="I25" s="95" t="e">
        <f>Tabela3[[#This Row],[Valor total]]-Tabela3[[#This Row],[Custo total]]</f>
        <v>#N/A</v>
      </c>
      <c r="J25" s="54">
        <v>123512</v>
      </c>
      <c r="K25" s="54" t="s">
        <v>61</v>
      </c>
      <c r="L25" s="54" t="s">
        <v>8</v>
      </c>
      <c r="M25" s="54">
        <v>3</v>
      </c>
      <c r="N25" s="95">
        <v>0</v>
      </c>
      <c r="O25" s="78">
        <v>0</v>
      </c>
      <c r="P25" s="95">
        <v>0</v>
      </c>
      <c r="Q25" s="77">
        <v>0</v>
      </c>
      <c r="R25" s="93">
        <v>0</v>
      </c>
    </row>
    <row r="26" spans="1:18" s="67" customFormat="1" x14ac:dyDescent="0.25">
      <c r="A26" s="74">
        <v>44227</v>
      </c>
      <c r="B26" s="23" t="e">
        <v>#N/A</v>
      </c>
      <c r="C26" s="23"/>
      <c r="D26" s="8"/>
      <c r="E26" s="30"/>
      <c r="F26" s="52">
        <f>Tabela3[[#This Row],[Valor Unitário]]*Tabela3[[#This Row],[Quantidade]]</f>
        <v>0</v>
      </c>
      <c r="G26" s="52" t="e">
        <f>VLOOKUP(Tabela3[[#This Row],[Código]],Cadastro_Produto!B:D,3,0)</f>
        <v>#N/A</v>
      </c>
      <c r="H26" s="52" t="e">
        <f>Tabela3[[#This Row],[Custo unitário]]*Tabela3[[#This Row],[Quantidade]]</f>
        <v>#N/A</v>
      </c>
      <c r="I26" s="95" t="e">
        <f>Tabela3[[#This Row],[Valor total]]-Tabela3[[#This Row],[Custo total]]</f>
        <v>#N/A</v>
      </c>
      <c r="J26" s="54">
        <v>123512</v>
      </c>
      <c r="K26" s="54" t="s">
        <v>61</v>
      </c>
      <c r="L26" s="54" t="s">
        <v>8</v>
      </c>
      <c r="M26" s="54">
        <v>3</v>
      </c>
      <c r="N26" s="95">
        <v>0</v>
      </c>
      <c r="O26" s="78">
        <v>0</v>
      </c>
      <c r="P26" s="95">
        <v>0</v>
      </c>
      <c r="Q26" s="77">
        <v>0</v>
      </c>
      <c r="R26" s="93">
        <v>0</v>
      </c>
    </row>
    <row r="27" spans="1:18" s="67" customFormat="1" x14ac:dyDescent="0.25">
      <c r="A27" s="74">
        <v>44227</v>
      </c>
      <c r="B27" s="23" t="e">
        <v>#N/A</v>
      </c>
      <c r="C27" s="23"/>
      <c r="D27" s="8"/>
      <c r="E27" s="30"/>
      <c r="F27" s="52">
        <f>Tabela3[[#This Row],[Valor Unitário]]*Tabela3[[#This Row],[Quantidade]]</f>
        <v>0</v>
      </c>
      <c r="G27" s="52" t="e">
        <f>VLOOKUP(Tabela3[[#This Row],[Código]],Cadastro_Produto!B:D,3,0)</f>
        <v>#N/A</v>
      </c>
      <c r="H27" s="52" t="e">
        <f>Tabela3[[#This Row],[Custo unitário]]*Tabela3[[#This Row],[Quantidade]]</f>
        <v>#N/A</v>
      </c>
      <c r="I27" s="95" t="e">
        <f>Tabela3[[#This Row],[Valor total]]-Tabela3[[#This Row],[Custo total]]</f>
        <v>#N/A</v>
      </c>
      <c r="J27" s="54">
        <v>123512</v>
      </c>
      <c r="K27" s="54" t="s">
        <v>61</v>
      </c>
      <c r="L27" s="54" t="s">
        <v>8</v>
      </c>
      <c r="M27" s="54">
        <v>3</v>
      </c>
      <c r="N27" s="95">
        <v>0</v>
      </c>
      <c r="O27" s="78">
        <v>0</v>
      </c>
      <c r="P27" s="95">
        <v>0</v>
      </c>
      <c r="Q27" s="77">
        <v>0</v>
      </c>
      <c r="R27" s="93">
        <v>0</v>
      </c>
    </row>
    <row r="28" spans="1:18" s="67" customFormat="1" x14ac:dyDescent="0.25">
      <c r="A28" s="74">
        <v>44225</v>
      </c>
      <c r="B28" s="23">
        <v>1002</v>
      </c>
      <c r="C28" s="23" t="s">
        <v>31</v>
      </c>
      <c r="D28" s="8">
        <v>1</v>
      </c>
      <c r="E28" s="30">
        <v>50</v>
      </c>
      <c r="F28" s="52">
        <f>Tabela3[[#This Row],[Valor Unitário]]*Tabela3[[#This Row],[Quantidade]]</f>
        <v>50</v>
      </c>
      <c r="G28" s="52">
        <f>VLOOKUP(Tabela3[[#This Row],[Código]],Cadastro_Produto!B:D,3,0)</f>
        <v>18.5</v>
      </c>
      <c r="H28" s="52">
        <f>Tabela3[[#This Row],[Custo unitário]]*Tabela3[[#This Row],[Quantidade]]</f>
        <v>18.5</v>
      </c>
      <c r="I28" s="95">
        <f>Tabela3[[#This Row],[Valor total]]-Tabela3[[#This Row],[Custo total]]</f>
        <v>31.5</v>
      </c>
      <c r="J28" s="54">
        <v>123511</v>
      </c>
      <c r="K28" s="54" t="s">
        <v>61</v>
      </c>
      <c r="L28" s="54" t="s">
        <v>8</v>
      </c>
      <c r="M28" s="54">
        <v>3</v>
      </c>
      <c r="N28" s="95">
        <v>0</v>
      </c>
      <c r="O28" s="78">
        <v>0</v>
      </c>
      <c r="P28" s="95">
        <v>1.97</v>
      </c>
      <c r="Q28" s="77">
        <v>48.03</v>
      </c>
      <c r="R28" s="93">
        <v>48.03</v>
      </c>
    </row>
    <row r="29" spans="1:18" s="67" customFormat="1" x14ac:dyDescent="0.25">
      <c r="A29" s="74">
        <v>44225</v>
      </c>
      <c r="B29" s="23">
        <v>1003</v>
      </c>
      <c r="C29" s="23" t="s">
        <v>32</v>
      </c>
      <c r="D29" s="8">
        <v>1</v>
      </c>
      <c r="E29" s="30">
        <v>190</v>
      </c>
      <c r="F29" s="52">
        <f>Tabela3[[#This Row],[Valor Unitário]]*Tabela3[[#This Row],[Quantidade]]</f>
        <v>190</v>
      </c>
      <c r="G29" s="52">
        <f>VLOOKUP(Tabela3[[#This Row],[Código]],Cadastro_Produto!B:D,3,0)</f>
        <v>85.9</v>
      </c>
      <c r="H29" s="52">
        <f>Tabela3[[#This Row],[Custo unitário]]*Tabela3[[#This Row],[Quantidade]]</f>
        <v>85.9</v>
      </c>
      <c r="I29" s="95">
        <f>Tabela3[[#This Row],[Valor total]]-Tabela3[[#This Row],[Custo total]]</f>
        <v>104.1</v>
      </c>
      <c r="J29" s="54">
        <v>123511</v>
      </c>
      <c r="K29" s="54" t="s">
        <v>61</v>
      </c>
      <c r="L29" s="54" t="s">
        <v>8</v>
      </c>
      <c r="M29" s="54">
        <v>3</v>
      </c>
      <c r="N29" s="95">
        <v>0</v>
      </c>
      <c r="O29" s="78">
        <v>0</v>
      </c>
      <c r="P29" s="95">
        <v>7.4859999999999998</v>
      </c>
      <c r="Q29" s="77">
        <v>182.51400000000001</v>
      </c>
      <c r="R29" s="93">
        <v>182.51400000000001</v>
      </c>
    </row>
    <row r="30" spans="1:18" s="67" customFormat="1" x14ac:dyDescent="0.25">
      <c r="A30" s="74">
        <v>44225</v>
      </c>
      <c r="B30" s="23" t="e">
        <v>#N/A</v>
      </c>
      <c r="C30" s="23"/>
      <c r="D30" s="8"/>
      <c r="E30" s="30"/>
      <c r="F30" s="52">
        <f>Tabela3[[#This Row],[Valor Unitário]]*Tabela3[[#This Row],[Quantidade]]</f>
        <v>0</v>
      </c>
      <c r="G30" s="52" t="e">
        <f>VLOOKUP(Tabela3[[#This Row],[Código]],Cadastro_Produto!B:D,3,0)</f>
        <v>#N/A</v>
      </c>
      <c r="H30" s="52" t="e">
        <f>Tabela3[[#This Row],[Custo unitário]]*Tabela3[[#This Row],[Quantidade]]</f>
        <v>#N/A</v>
      </c>
      <c r="I30" s="95" t="e">
        <f>Tabela3[[#This Row],[Valor total]]-Tabela3[[#This Row],[Custo total]]</f>
        <v>#N/A</v>
      </c>
      <c r="J30" s="54">
        <v>123511</v>
      </c>
      <c r="K30" s="54" t="s">
        <v>61</v>
      </c>
      <c r="L30" s="54" t="s">
        <v>8</v>
      </c>
      <c r="M30" s="54">
        <v>3</v>
      </c>
      <c r="N30" s="95">
        <v>0</v>
      </c>
      <c r="O30" s="78">
        <v>0</v>
      </c>
      <c r="P30" s="95">
        <v>0</v>
      </c>
      <c r="Q30" s="77">
        <v>0</v>
      </c>
      <c r="R30" s="93">
        <v>0</v>
      </c>
    </row>
    <row r="31" spans="1:18" s="67" customFormat="1" x14ac:dyDescent="0.25">
      <c r="A31" s="74">
        <v>44225</v>
      </c>
      <c r="B31" s="23" t="e">
        <v>#N/A</v>
      </c>
      <c r="C31" s="23"/>
      <c r="D31" s="8"/>
      <c r="E31" s="30"/>
      <c r="F31" s="52">
        <f>Tabela3[[#This Row],[Valor Unitário]]*Tabela3[[#This Row],[Quantidade]]</f>
        <v>0</v>
      </c>
      <c r="G31" s="52" t="e">
        <f>VLOOKUP(Tabela3[[#This Row],[Código]],Cadastro_Produto!B:D,3,0)</f>
        <v>#N/A</v>
      </c>
      <c r="H31" s="52" t="e">
        <f>Tabela3[[#This Row],[Custo unitário]]*Tabela3[[#This Row],[Quantidade]]</f>
        <v>#N/A</v>
      </c>
      <c r="I31" s="95" t="e">
        <f>Tabela3[[#This Row],[Valor total]]-Tabela3[[#This Row],[Custo total]]</f>
        <v>#N/A</v>
      </c>
      <c r="J31" s="54">
        <v>123511</v>
      </c>
      <c r="K31" s="54" t="s">
        <v>61</v>
      </c>
      <c r="L31" s="54" t="s">
        <v>8</v>
      </c>
      <c r="M31" s="54">
        <v>3</v>
      </c>
      <c r="N31" s="95">
        <v>0</v>
      </c>
      <c r="O31" s="78">
        <v>0</v>
      </c>
      <c r="P31" s="95">
        <v>0</v>
      </c>
      <c r="Q31" s="77">
        <v>0</v>
      </c>
      <c r="R31" s="93">
        <v>0</v>
      </c>
    </row>
    <row r="32" spans="1:18" s="67" customFormat="1" x14ac:dyDescent="0.25">
      <c r="A32" s="74">
        <v>44225</v>
      </c>
      <c r="B32" s="23" t="e">
        <v>#N/A</v>
      </c>
      <c r="C32" s="23"/>
      <c r="D32" s="8"/>
      <c r="E32" s="30"/>
      <c r="F32" s="52">
        <f>Tabela3[[#This Row],[Valor Unitário]]*Tabela3[[#This Row],[Quantidade]]</f>
        <v>0</v>
      </c>
      <c r="G32" s="52" t="e">
        <f>VLOOKUP(Tabela3[[#This Row],[Código]],Cadastro_Produto!B:D,3,0)</f>
        <v>#N/A</v>
      </c>
      <c r="H32" s="52" t="e">
        <f>Tabela3[[#This Row],[Custo unitário]]*Tabela3[[#This Row],[Quantidade]]</f>
        <v>#N/A</v>
      </c>
      <c r="I32" s="95" t="e">
        <f>Tabela3[[#This Row],[Valor total]]-Tabela3[[#This Row],[Custo total]]</f>
        <v>#N/A</v>
      </c>
      <c r="J32" s="54">
        <v>123511</v>
      </c>
      <c r="K32" s="54" t="s">
        <v>61</v>
      </c>
      <c r="L32" s="54" t="s">
        <v>8</v>
      </c>
      <c r="M32" s="54">
        <v>3</v>
      </c>
      <c r="N32" s="95">
        <v>0</v>
      </c>
      <c r="O32" s="78">
        <v>0</v>
      </c>
      <c r="P32" s="95">
        <v>0</v>
      </c>
      <c r="Q32" s="77">
        <v>0</v>
      </c>
      <c r="R32" s="93">
        <v>0</v>
      </c>
    </row>
    <row r="33" spans="1:18" s="67" customFormat="1" x14ac:dyDescent="0.25">
      <c r="A33" s="74">
        <v>44225</v>
      </c>
      <c r="B33" s="23">
        <v>1002</v>
      </c>
      <c r="C33" s="23" t="s">
        <v>31</v>
      </c>
      <c r="D33" s="8">
        <v>3</v>
      </c>
      <c r="E33" s="30">
        <v>65</v>
      </c>
      <c r="F33" s="52">
        <f>Tabela3[[#This Row],[Valor Unitário]]*Tabela3[[#This Row],[Quantidade]]</f>
        <v>195</v>
      </c>
      <c r="G33" s="52">
        <f>VLOOKUP(Tabela3[[#This Row],[Código]],Cadastro_Produto!B:D,3,0)</f>
        <v>18.5</v>
      </c>
      <c r="H33" s="52">
        <f>Tabela3[[#This Row],[Custo unitário]]*Tabela3[[#This Row],[Quantidade]]</f>
        <v>55.5</v>
      </c>
      <c r="I33" s="95">
        <f>Tabela3[[#This Row],[Valor total]]-Tabela3[[#This Row],[Custo total]]</f>
        <v>139.5</v>
      </c>
      <c r="J33" s="54">
        <v>123510</v>
      </c>
      <c r="K33" s="54" t="s">
        <v>62</v>
      </c>
      <c r="L33" s="54" t="s">
        <v>8</v>
      </c>
      <c r="M33" s="54"/>
      <c r="N33" s="95">
        <v>3.8805000000000001</v>
      </c>
      <c r="O33" s="78">
        <v>191.11949999999999</v>
      </c>
      <c r="P33" s="95">
        <v>0</v>
      </c>
      <c r="Q33" s="77">
        <v>0</v>
      </c>
      <c r="R33" s="93">
        <v>191.11949999999999</v>
      </c>
    </row>
    <row r="34" spans="1:18" s="67" customFormat="1" x14ac:dyDescent="0.25">
      <c r="A34" s="74">
        <v>44225</v>
      </c>
      <c r="B34" s="23" t="e">
        <v>#N/A</v>
      </c>
      <c r="C34" s="23"/>
      <c r="D34" s="8"/>
      <c r="E34" s="30"/>
      <c r="F34" s="52">
        <f>Tabela3[[#This Row],[Valor Unitário]]*Tabela3[[#This Row],[Quantidade]]</f>
        <v>0</v>
      </c>
      <c r="G34" s="52" t="e">
        <f>VLOOKUP(Tabela3[[#This Row],[Código]],Cadastro_Produto!B:D,3,0)</f>
        <v>#N/A</v>
      </c>
      <c r="H34" s="52" t="e">
        <f>Tabela3[[#This Row],[Custo unitário]]*Tabela3[[#This Row],[Quantidade]]</f>
        <v>#N/A</v>
      </c>
      <c r="I34" s="95" t="e">
        <f>Tabela3[[#This Row],[Valor total]]-Tabela3[[#This Row],[Custo total]]</f>
        <v>#N/A</v>
      </c>
      <c r="J34" s="54">
        <v>123510</v>
      </c>
      <c r="K34" s="54" t="s">
        <v>62</v>
      </c>
      <c r="L34" s="54" t="s">
        <v>8</v>
      </c>
      <c r="M34" s="54"/>
      <c r="N34" s="95">
        <v>0</v>
      </c>
      <c r="O34" s="78">
        <v>0</v>
      </c>
      <c r="P34" s="95">
        <v>0</v>
      </c>
      <c r="Q34" s="77">
        <v>0</v>
      </c>
      <c r="R34" s="93">
        <v>0</v>
      </c>
    </row>
    <row r="35" spans="1:18" s="67" customFormat="1" x14ac:dyDescent="0.25">
      <c r="A35" s="74">
        <v>44225</v>
      </c>
      <c r="B35" s="23" t="e">
        <v>#N/A</v>
      </c>
      <c r="C35" s="23"/>
      <c r="D35" s="8"/>
      <c r="E35" s="30"/>
      <c r="F35" s="52">
        <f>Tabela3[[#This Row],[Valor Unitário]]*Tabela3[[#This Row],[Quantidade]]</f>
        <v>0</v>
      </c>
      <c r="G35" s="52" t="e">
        <f>VLOOKUP(Tabela3[[#This Row],[Código]],Cadastro_Produto!B:D,3,0)</f>
        <v>#N/A</v>
      </c>
      <c r="H35" s="52" t="e">
        <f>Tabela3[[#This Row],[Custo unitário]]*Tabela3[[#This Row],[Quantidade]]</f>
        <v>#N/A</v>
      </c>
      <c r="I35" s="95" t="e">
        <f>Tabela3[[#This Row],[Valor total]]-Tabela3[[#This Row],[Custo total]]</f>
        <v>#N/A</v>
      </c>
      <c r="J35" s="54">
        <v>123510</v>
      </c>
      <c r="K35" s="54" t="s">
        <v>62</v>
      </c>
      <c r="L35" s="54" t="s">
        <v>8</v>
      </c>
      <c r="M35" s="54"/>
      <c r="N35" s="95">
        <v>0</v>
      </c>
      <c r="O35" s="78">
        <v>0</v>
      </c>
      <c r="P35" s="95">
        <v>0</v>
      </c>
      <c r="Q35" s="77">
        <v>0</v>
      </c>
      <c r="R35" s="93">
        <v>0</v>
      </c>
    </row>
    <row r="36" spans="1:18" s="67" customFormat="1" x14ac:dyDescent="0.25">
      <c r="A36" s="74">
        <v>44225</v>
      </c>
      <c r="B36" s="23" t="e">
        <v>#N/A</v>
      </c>
      <c r="C36" s="23"/>
      <c r="D36" s="8"/>
      <c r="E36" s="30"/>
      <c r="F36" s="52">
        <f>Tabela3[[#This Row],[Valor Unitário]]*Tabela3[[#This Row],[Quantidade]]</f>
        <v>0</v>
      </c>
      <c r="G36" s="52" t="e">
        <f>VLOOKUP(Tabela3[[#This Row],[Código]],Cadastro_Produto!B:D,3,0)</f>
        <v>#N/A</v>
      </c>
      <c r="H36" s="52" t="e">
        <f>Tabela3[[#This Row],[Custo unitário]]*Tabela3[[#This Row],[Quantidade]]</f>
        <v>#N/A</v>
      </c>
      <c r="I36" s="95" t="e">
        <f>Tabela3[[#This Row],[Valor total]]-Tabela3[[#This Row],[Custo total]]</f>
        <v>#N/A</v>
      </c>
      <c r="J36" s="54">
        <v>123510</v>
      </c>
      <c r="K36" s="54" t="s">
        <v>62</v>
      </c>
      <c r="L36" s="54" t="s">
        <v>8</v>
      </c>
      <c r="M36" s="54"/>
      <c r="N36" s="95">
        <v>0</v>
      </c>
      <c r="O36" s="78">
        <v>0</v>
      </c>
      <c r="P36" s="95">
        <v>0</v>
      </c>
      <c r="Q36" s="77">
        <v>0</v>
      </c>
      <c r="R36" s="93">
        <v>0</v>
      </c>
    </row>
    <row r="37" spans="1:18" s="67" customFormat="1" x14ac:dyDescent="0.25">
      <c r="A37" s="74">
        <v>44225</v>
      </c>
      <c r="B37" s="23" t="e">
        <v>#N/A</v>
      </c>
      <c r="C37" s="23"/>
      <c r="D37" s="8"/>
      <c r="E37" s="30"/>
      <c r="F37" s="52">
        <f>Tabela3[[#This Row],[Valor Unitário]]*Tabela3[[#This Row],[Quantidade]]</f>
        <v>0</v>
      </c>
      <c r="G37" s="52" t="e">
        <f>VLOOKUP(Tabela3[[#This Row],[Código]],Cadastro_Produto!B:D,3,0)</f>
        <v>#N/A</v>
      </c>
      <c r="H37" s="52" t="e">
        <f>Tabela3[[#This Row],[Custo unitário]]*Tabela3[[#This Row],[Quantidade]]</f>
        <v>#N/A</v>
      </c>
      <c r="I37" s="95" t="e">
        <f>Tabela3[[#This Row],[Valor total]]-Tabela3[[#This Row],[Custo total]]</f>
        <v>#N/A</v>
      </c>
      <c r="J37" s="54">
        <v>123510</v>
      </c>
      <c r="K37" s="54" t="s">
        <v>62</v>
      </c>
      <c r="L37" s="54" t="s">
        <v>8</v>
      </c>
      <c r="M37" s="54"/>
      <c r="N37" s="95">
        <v>0</v>
      </c>
      <c r="O37" s="78">
        <v>0</v>
      </c>
      <c r="P37" s="95">
        <v>0</v>
      </c>
      <c r="Q37" s="77">
        <v>0</v>
      </c>
      <c r="R37" s="93">
        <v>0</v>
      </c>
    </row>
    <row r="38" spans="1:18" s="67" customFormat="1" x14ac:dyDescent="0.25">
      <c r="A38" s="74">
        <v>44225</v>
      </c>
      <c r="B38" s="23">
        <v>1005</v>
      </c>
      <c r="C38" s="23" t="s">
        <v>34</v>
      </c>
      <c r="D38" s="8">
        <v>1</v>
      </c>
      <c r="E38" s="30">
        <v>180</v>
      </c>
      <c r="F38" s="52">
        <f>Tabela3[[#This Row],[Valor Unitário]]*Tabela3[[#This Row],[Quantidade]]</f>
        <v>180</v>
      </c>
      <c r="G38" s="52">
        <f>VLOOKUP(Tabela3[[#This Row],[Código]],Cadastro_Produto!B:D,3,0)</f>
        <v>91.5</v>
      </c>
      <c r="H38" s="52">
        <f>Tabela3[[#This Row],[Custo unitário]]*Tabela3[[#This Row],[Quantidade]]</f>
        <v>91.5</v>
      </c>
      <c r="I38" s="95">
        <f>Tabela3[[#This Row],[Valor total]]-Tabela3[[#This Row],[Custo total]]</f>
        <v>88.5</v>
      </c>
      <c r="J38" s="54">
        <v>123509</v>
      </c>
      <c r="K38" s="54" t="s">
        <v>61</v>
      </c>
      <c r="L38" s="54" t="s">
        <v>8</v>
      </c>
      <c r="M38" s="54">
        <v>2</v>
      </c>
      <c r="N38" s="95">
        <v>0</v>
      </c>
      <c r="O38" s="78">
        <v>0</v>
      </c>
      <c r="P38" s="95">
        <v>6.48</v>
      </c>
      <c r="Q38" s="77">
        <v>173.52</v>
      </c>
      <c r="R38" s="93">
        <v>173.52</v>
      </c>
    </row>
    <row r="39" spans="1:18" s="67" customFormat="1" x14ac:dyDescent="0.25">
      <c r="A39" s="74">
        <v>44225</v>
      </c>
      <c r="B39" s="23" t="e">
        <v>#N/A</v>
      </c>
      <c r="C39" s="23"/>
      <c r="D39" s="8"/>
      <c r="E39" s="30"/>
      <c r="F39" s="52">
        <f>Tabela3[[#This Row],[Valor Unitário]]*Tabela3[[#This Row],[Quantidade]]</f>
        <v>0</v>
      </c>
      <c r="G39" s="52" t="e">
        <f>VLOOKUP(Tabela3[[#This Row],[Código]],Cadastro_Produto!B:D,3,0)</f>
        <v>#N/A</v>
      </c>
      <c r="H39" s="52" t="e">
        <f>Tabela3[[#This Row],[Custo unitário]]*Tabela3[[#This Row],[Quantidade]]</f>
        <v>#N/A</v>
      </c>
      <c r="I39" s="95" t="e">
        <f>Tabela3[[#This Row],[Valor total]]-Tabela3[[#This Row],[Custo total]]</f>
        <v>#N/A</v>
      </c>
      <c r="J39" s="54">
        <v>123509</v>
      </c>
      <c r="K39" s="54" t="s">
        <v>61</v>
      </c>
      <c r="L39" s="54" t="s">
        <v>8</v>
      </c>
      <c r="M39" s="54">
        <v>2</v>
      </c>
      <c r="N39" s="95">
        <v>0</v>
      </c>
      <c r="O39" s="78">
        <v>0</v>
      </c>
      <c r="P39" s="95">
        <v>0</v>
      </c>
      <c r="Q39" s="77">
        <v>0</v>
      </c>
      <c r="R39" s="93">
        <v>0</v>
      </c>
    </row>
    <row r="40" spans="1:18" s="67" customFormat="1" x14ac:dyDescent="0.25">
      <c r="A40" s="74">
        <v>44225</v>
      </c>
      <c r="B40" s="23" t="e">
        <v>#N/A</v>
      </c>
      <c r="C40" s="23"/>
      <c r="D40" s="8"/>
      <c r="E40" s="30"/>
      <c r="F40" s="52">
        <f>Tabela3[[#This Row],[Valor Unitário]]*Tabela3[[#This Row],[Quantidade]]</f>
        <v>0</v>
      </c>
      <c r="G40" s="52" t="e">
        <f>VLOOKUP(Tabela3[[#This Row],[Código]],Cadastro_Produto!B:D,3,0)</f>
        <v>#N/A</v>
      </c>
      <c r="H40" s="52" t="e">
        <f>Tabela3[[#This Row],[Custo unitário]]*Tabela3[[#This Row],[Quantidade]]</f>
        <v>#N/A</v>
      </c>
      <c r="I40" s="95" t="e">
        <f>Tabela3[[#This Row],[Valor total]]-Tabela3[[#This Row],[Custo total]]</f>
        <v>#N/A</v>
      </c>
      <c r="J40" s="54">
        <v>123509</v>
      </c>
      <c r="K40" s="54" t="s">
        <v>61</v>
      </c>
      <c r="L40" s="54" t="s">
        <v>8</v>
      </c>
      <c r="M40" s="54">
        <v>2</v>
      </c>
      <c r="N40" s="95">
        <v>0</v>
      </c>
      <c r="O40" s="78">
        <v>0</v>
      </c>
      <c r="P40" s="95">
        <v>0</v>
      </c>
      <c r="Q40" s="77">
        <v>0</v>
      </c>
      <c r="R40" s="93">
        <v>0</v>
      </c>
    </row>
    <row r="41" spans="1:18" s="67" customFormat="1" x14ac:dyDescent="0.25">
      <c r="A41" s="74">
        <v>44225</v>
      </c>
      <c r="B41" s="23" t="e">
        <v>#N/A</v>
      </c>
      <c r="C41" s="23"/>
      <c r="D41" s="8"/>
      <c r="E41" s="30"/>
      <c r="F41" s="52">
        <f>Tabela3[[#This Row],[Valor Unitário]]*Tabela3[[#This Row],[Quantidade]]</f>
        <v>0</v>
      </c>
      <c r="G41" s="52" t="e">
        <f>VLOOKUP(Tabela3[[#This Row],[Código]],Cadastro_Produto!B:D,3,0)</f>
        <v>#N/A</v>
      </c>
      <c r="H41" s="52" t="e">
        <f>Tabela3[[#This Row],[Custo unitário]]*Tabela3[[#This Row],[Quantidade]]</f>
        <v>#N/A</v>
      </c>
      <c r="I41" s="95" t="e">
        <f>Tabela3[[#This Row],[Valor total]]-Tabela3[[#This Row],[Custo total]]</f>
        <v>#N/A</v>
      </c>
      <c r="J41" s="54">
        <v>123509</v>
      </c>
      <c r="K41" s="54" t="s">
        <v>61</v>
      </c>
      <c r="L41" s="54" t="s">
        <v>8</v>
      </c>
      <c r="M41" s="54">
        <v>2</v>
      </c>
      <c r="N41" s="95">
        <v>0</v>
      </c>
      <c r="O41" s="78">
        <v>0</v>
      </c>
      <c r="P41" s="95">
        <v>0</v>
      </c>
      <c r="Q41" s="77">
        <v>0</v>
      </c>
      <c r="R41" s="93">
        <v>0</v>
      </c>
    </row>
    <row r="42" spans="1:18" s="67" customFormat="1" x14ac:dyDescent="0.25">
      <c r="A42" s="74">
        <v>44225</v>
      </c>
      <c r="B42" s="23" t="e">
        <v>#N/A</v>
      </c>
      <c r="C42" s="23"/>
      <c r="D42" s="8"/>
      <c r="E42" s="30"/>
      <c r="F42" s="52">
        <f>Tabela3[[#This Row],[Valor Unitário]]*Tabela3[[#This Row],[Quantidade]]</f>
        <v>0</v>
      </c>
      <c r="G42" s="52" t="e">
        <f>VLOOKUP(Tabela3[[#This Row],[Código]],Cadastro_Produto!B:D,3,0)</f>
        <v>#N/A</v>
      </c>
      <c r="H42" s="52" t="e">
        <f>Tabela3[[#This Row],[Custo unitário]]*Tabela3[[#This Row],[Quantidade]]</f>
        <v>#N/A</v>
      </c>
      <c r="I42" s="95" t="e">
        <f>Tabela3[[#This Row],[Valor total]]-Tabela3[[#This Row],[Custo total]]</f>
        <v>#N/A</v>
      </c>
      <c r="J42" s="54">
        <v>123509</v>
      </c>
      <c r="K42" s="54" t="s">
        <v>61</v>
      </c>
      <c r="L42" s="54" t="s">
        <v>8</v>
      </c>
      <c r="M42" s="54">
        <v>2</v>
      </c>
      <c r="N42" s="95">
        <v>0</v>
      </c>
      <c r="O42" s="78">
        <v>0</v>
      </c>
      <c r="P42" s="95">
        <v>0</v>
      </c>
      <c r="Q42" s="77">
        <v>0</v>
      </c>
      <c r="R42" s="93">
        <v>0</v>
      </c>
    </row>
    <row r="43" spans="1:18" s="67" customFormat="1" x14ac:dyDescent="0.25">
      <c r="A43" s="74">
        <v>44225</v>
      </c>
      <c r="B43" s="23">
        <v>1003</v>
      </c>
      <c r="C43" s="23" t="s">
        <v>32</v>
      </c>
      <c r="D43" s="8">
        <v>1</v>
      </c>
      <c r="E43" s="30">
        <v>190</v>
      </c>
      <c r="F43" s="52">
        <f>Tabela3[[#This Row],[Valor Unitário]]*Tabela3[[#This Row],[Quantidade]]</f>
        <v>190</v>
      </c>
      <c r="G43" s="52">
        <f>VLOOKUP(Tabela3[[#This Row],[Código]],Cadastro_Produto!B:D,3,0)</f>
        <v>85.9</v>
      </c>
      <c r="H43" s="52">
        <f>Tabela3[[#This Row],[Custo unitário]]*Tabela3[[#This Row],[Quantidade]]</f>
        <v>85.9</v>
      </c>
      <c r="I43" s="95">
        <f>Tabela3[[#This Row],[Valor total]]-Tabela3[[#This Row],[Custo total]]</f>
        <v>104.1</v>
      </c>
      <c r="J43" s="54">
        <v>123508</v>
      </c>
      <c r="K43" s="54" t="s">
        <v>61</v>
      </c>
      <c r="L43" s="54" t="s">
        <v>8</v>
      </c>
      <c r="M43" s="54">
        <v>1</v>
      </c>
      <c r="N43" s="95">
        <v>0</v>
      </c>
      <c r="O43" s="78">
        <v>0</v>
      </c>
      <c r="P43" s="95">
        <v>5.6429999999999998</v>
      </c>
      <c r="Q43" s="77">
        <v>184.357</v>
      </c>
      <c r="R43" s="93">
        <v>184.357</v>
      </c>
    </row>
    <row r="44" spans="1:18" s="67" customFormat="1" x14ac:dyDescent="0.25">
      <c r="A44" s="74">
        <v>44225</v>
      </c>
      <c r="B44" s="23" t="e">
        <v>#N/A</v>
      </c>
      <c r="C44" s="23"/>
      <c r="D44" s="8"/>
      <c r="E44" s="30"/>
      <c r="F44" s="52">
        <f>Tabela3[[#This Row],[Valor Unitário]]*Tabela3[[#This Row],[Quantidade]]</f>
        <v>0</v>
      </c>
      <c r="G44" s="52" t="e">
        <f>VLOOKUP(Tabela3[[#This Row],[Código]],Cadastro_Produto!B:D,3,0)</f>
        <v>#N/A</v>
      </c>
      <c r="H44" s="52" t="e">
        <f>Tabela3[[#This Row],[Custo unitário]]*Tabela3[[#This Row],[Quantidade]]</f>
        <v>#N/A</v>
      </c>
      <c r="I44" s="95" t="e">
        <f>Tabela3[[#This Row],[Valor total]]-Tabela3[[#This Row],[Custo total]]</f>
        <v>#N/A</v>
      </c>
      <c r="J44" s="54">
        <v>123508</v>
      </c>
      <c r="K44" s="54" t="s">
        <v>61</v>
      </c>
      <c r="L44" s="54" t="s">
        <v>8</v>
      </c>
      <c r="M44" s="54">
        <v>1</v>
      </c>
      <c r="N44" s="95">
        <v>0</v>
      </c>
      <c r="O44" s="78">
        <v>0</v>
      </c>
      <c r="P44" s="95">
        <v>0</v>
      </c>
      <c r="Q44" s="77">
        <v>0</v>
      </c>
      <c r="R44" s="93">
        <v>0</v>
      </c>
    </row>
    <row r="45" spans="1:18" s="67" customFormat="1" x14ac:dyDescent="0.25">
      <c r="A45" s="74">
        <v>44225</v>
      </c>
      <c r="B45" s="23" t="e">
        <v>#N/A</v>
      </c>
      <c r="C45" s="23"/>
      <c r="D45" s="8"/>
      <c r="E45" s="30"/>
      <c r="F45" s="52">
        <f>Tabela3[[#This Row],[Valor Unitário]]*Tabela3[[#This Row],[Quantidade]]</f>
        <v>0</v>
      </c>
      <c r="G45" s="52" t="e">
        <f>VLOOKUP(Tabela3[[#This Row],[Código]],Cadastro_Produto!B:D,3,0)</f>
        <v>#N/A</v>
      </c>
      <c r="H45" s="52" t="e">
        <f>Tabela3[[#This Row],[Custo unitário]]*Tabela3[[#This Row],[Quantidade]]</f>
        <v>#N/A</v>
      </c>
      <c r="I45" s="95" t="e">
        <f>Tabela3[[#This Row],[Valor total]]-Tabela3[[#This Row],[Custo total]]</f>
        <v>#N/A</v>
      </c>
      <c r="J45" s="54">
        <v>123508</v>
      </c>
      <c r="K45" s="54" t="s">
        <v>61</v>
      </c>
      <c r="L45" s="54" t="s">
        <v>8</v>
      </c>
      <c r="M45" s="54">
        <v>1</v>
      </c>
      <c r="N45" s="95">
        <v>0</v>
      </c>
      <c r="O45" s="78">
        <v>0</v>
      </c>
      <c r="P45" s="95">
        <v>0</v>
      </c>
      <c r="Q45" s="77">
        <v>0</v>
      </c>
      <c r="R45" s="93">
        <v>0</v>
      </c>
    </row>
    <row r="46" spans="1:18" s="67" customFormat="1" x14ac:dyDescent="0.25">
      <c r="A46" s="74">
        <v>44225</v>
      </c>
      <c r="B46" s="23" t="e">
        <v>#N/A</v>
      </c>
      <c r="C46" s="23"/>
      <c r="D46" s="8"/>
      <c r="E46" s="30"/>
      <c r="F46" s="52">
        <f>Tabela3[[#This Row],[Valor Unitário]]*Tabela3[[#This Row],[Quantidade]]</f>
        <v>0</v>
      </c>
      <c r="G46" s="52" t="e">
        <f>VLOOKUP(Tabela3[[#This Row],[Código]],Cadastro_Produto!B:D,3,0)</f>
        <v>#N/A</v>
      </c>
      <c r="H46" s="52" t="e">
        <f>Tabela3[[#This Row],[Custo unitário]]*Tabela3[[#This Row],[Quantidade]]</f>
        <v>#N/A</v>
      </c>
      <c r="I46" s="95" t="e">
        <f>Tabela3[[#This Row],[Valor total]]-Tabela3[[#This Row],[Custo total]]</f>
        <v>#N/A</v>
      </c>
      <c r="J46" s="54">
        <v>123508</v>
      </c>
      <c r="K46" s="54" t="s">
        <v>61</v>
      </c>
      <c r="L46" s="54" t="s">
        <v>8</v>
      </c>
      <c r="M46" s="54">
        <v>1</v>
      </c>
      <c r="N46" s="95">
        <v>0</v>
      </c>
      <c r="O46" s="78">
        <v>0</v>
      </c>
      <c r="P46" s="95">
        <v>0</v>
      </c>
      <c r="Q46" s="77">
        <v>0</v>
      </c>
      <c r="R46" s="93">
        <v>0</v>
      </c>
    </row>
    <row r="47" spans="1:18" s="67" customFormat="1" x14ac:dyDescent="0.25">
      <c r="A47" s="74">
        <v>44225</v>
      </c>
      <c r="B47" s="23" t="e">
        <v>#N/A</v>
      </c>
      <c r="C47" s="23"/>
      <c r="D47" s="8"/>
      <c r="E47" s="30"/>
      <c r="F47" s="52">
        <f>Tabela3[[#This Row],[Valor Unitário]]*Tabela3[[#This Row],[Quantidade]]</f>
        <v>0</v>
      </c>
      <c r="G47" s="52" t="e">
        <f>VLOOKUP(Tabela3[[#This Row],[Código]],Cadastro_Produto!B:D,3,0)</f>
        <v>#N/A</v>
      </c>
      <c r="H47" s="52" t="e">
        <f>Tabela3[[#This Row],[Custo unitário]]*Tabela3[[#This Row],[Quantidade]]</f>
        <v>#N/A</v>
      </c>
      <c r="I47" s="95" t="e">
        <f>Tabela3[[#This Row],[Valor total]]-Tabela3[[#This Row],[Custo total]]</f>
        <v>#N/A</v>
      </c>
      <c r="J47" s="54">
        <v>123508</v>
      </c>
      <c r="K47" s="54" t="s">
        <v>61</v>
      </c>
      <c r="L47" s="54" t="s">
        <v>8</v>
      </c>
      <c r="M47" s="54">
        <v>1</v>
      </c>
      <c r="N47" s="95">
        <v>0</v>
      </c>
      <c r="O47" s="78">
        <v>0</v>
      </c>
      <c r="P47" s="95">
        <v>0</v>
      </c>
      <c r="Q47" s="77">
        <v>0</v>
      </c>
      <c r="R47" s="93">
        <v>0</v>
      </c>
    </row>
    <row r="48" spans="1:18" s="67" customFormat="1" x14ac:dyDescent="0.25">
      <c r="A48" s="74">
        <v>44225</v>
      </c>
      <c r="B48" s="23">
        <v>1003</v>
      </c>
      <c r="C48" s="23" t="s">
        <v>32</v>
      </c>
      <c r="D48" s="8">
        <v>1</v>
      </c>
      <c r="E48" s="30">
        <v>190</v>
      </c>
      <c r="F48" s="52">
        <f>Tabela3[[#This Row],[Valor Unitário]]*Tabela3[[#This Row],[Quantidade]]</f>
        <v>190</v>
      </c>
      <c r="G48" s="52">
        <f>VLOOKUP(Tabela3[[#This Row],[Código]],Cadastro_Produto!B:D,3,0)</f>
        <v>85.9</v>
      </c>
      <c r="H48" s="52">
        <f>Tabela3[[#This Row],[Custo unitário]]*Tabela3[[#This Row],[Quantidade]]</f>
        <v>85.9</v>
      </c>
      <c r="I48" s="95">
        <f>Tabela3[[#This Row],[Valor total]]-Tabela3[[#This Row],[Custo total]]</f>
        <v>104.1</v>
      </c>
      <c r="J48" s="54">
        <v>123507</v>
      </c>
      <c r="K48" s="54" t="s">
        <v>61</v>
      </c>
      <c r="L48" s="54" t="s">
        <v>8</v>
      </c>
      <c r="M48" s="54">
        <v>3</v>
      </c>
      <c r="N48" s="95">
        <v>0</v>
      </c>
      <c r="O48" s="78">
        <v>0</v>
      </c>
      <c r="P48" s="95">
        <v>7.4859999999999998</v>
      </c>
      <c r="Q48" s="77">
        <v>182.51400000000001</v>
      </c>
      <c r="R48" s="93">
        <v>182.51400000000001</v>
      </c>
    </row>
    <row r="49" spans="1:18" s="67" customFormat="1" x14ac:dyDescent="0.25">
      <c r="A49" s="74">
        <v>44225</v>
      </c>
      <c r="B49" s="23">
        <v>1001</v>
      </c>
      <c r="C49" s="23" t="s">
        <v>9</v>
      </c>
      <c r="D49" s="8">
        <v>1</v>
      </c>
      <c r="E49" s="30">
        <v>50</v>
      </c>
      <c r="F49" s="52">
        <f>Tabela3[[#This Row],[Valor Unitário]]*Tabela3[[#This Row],[Quantidade]]</f>
        <v>50</v>
      </c>
      <c r="G49" s="52">
        <f>VLOOKUP(Tabela3[[#This Row],[Código]],Cadastro_Produto!B:D,3,0)</f>
        <v>24.9</v>
      </c>
      <c r="H49" s="52">
        <f>Tabela3[[#This Row],[Custo unitário]]*Tabela3[[#This Row],[Quantidade]]</f>
        <v>24.9</v>
      </c>
      <c r="I49" s="95">
        <f>Tabela3[[#This Row],[Valor total]]-Tabela3[[#This Row],[Custo total]]</f>
        <v>25.1</v>
      </c>
      <c r="J49" s="54">
        <v>123507</v>
      </c>
      <c r="K49" s="54" t="s">
        <v>61</v>
      </c>
      <c r="L49" s="54" t="s">
        <v>8</v>
      </c>
      <c r="M49" s="54">
        <v>3</v>
      </c>
      <c r="N49" s="95">
        <v>0</v>
      </c>
      <c r="O49" s="78">
        <v>0</v>
      </c>
      <c r="P49" s="95">
        <v>1.97</v>
      </c>
      <c r="Q49" s="77">
        <v>48.03</v>
      </c>
      <c r="R49" s="93">
        <v>48.03</v>
      </c>
    </row>
    <row r="50" spans="1:18" s="67" customFormat="1" x14ac:dyDescent="0.25">
      <c r="A50" s="74">
        <v>44225</v>
      </c>
      <c r="B50" s="23" t="e">
        <v>#N/A</v>
      </c>
      <c r="C50" s="23"/>
      <c r="D50" s="8"/>
      <c r="E50" s="30"/>
      <c r="F50" s="52">
        <f>Tabela3[[#This Row],[Valor Unitário]]*Tabela3[[#This Row],[Quantidade]]</f>
        <v>0</v>
      </c>
      <c r="G50" s="52" t="e">
        <f>VLOOKUP(Tabela3[[#This Row],[Código]],Cadastro_Produto!B:D,3,0)</f>
        <v>#N/A</v>
      </c>
      <c r="H50" s="52" t="e">
        <f>Tabela3[[#This Row],[Custo unitário]]*Tabela3[[#This Row],[Quantidade]]</f>
        <v>#N/A</v>
      </c>
      <c r="I50" s="95" t="e">
        <f>Tabela3[[#This Row],[Valor total]]-Tabela3[[#This Row],[Custo total]]</f>
        <v>#N/A</v>
      </c>
      <c r="J50" s="54">
        <v>123507</v>
      </c>
      <c r="K50" s="54" t="s">
        <v>61</v>
      </c>
      <c r="L50" s="54" t="s">
        <v>8</v>
      </c>
      <c r="M50" s="54">
        <v>3</v>
      </c>
      <c r="N50" s="95">
        <v>0</v>
      </c>
      <c r="O50" s="78">
        <v>0</v>
      </c>
      <c r="P50" s="95">
        <v>0</v>
      </c>
      <c r="Q50" s="77">
        <v>0</v>
      </c>
      <c r="R50" s="93">
        <v>0</v>
      </c>
    </row>
    <row r="51" spans="1:18" s="67" customFormat="1" x14ac:dyDescent="0.25">
      <c r="A51" s="74">
        <v>44225</v>
      </c>
      <c r="B51" s="23" t="e">
        <v>#N/A</v>
      </c>
      <c r="C51" s="23"/>
      <c r="D51" s="8"/>
      <c r="E51" s="30"/>
      <c r="F51" s="52">
        <f>Tabela3[[#This Row],[Valor Unitário]]*Tabela3[[#This Row],[Quantidade]]</f>
        <v>0</v>
      </c>
      <c r="G51" s="52" t="e">
        <f>VLOOKUP(Tabela3[[#This Row],[Código]],Cadastro_Produto!B:D,3,0)</f>
        <v>#N/A</v>
      </c>
      <c r="H51" s="52" t="e">
        <f>Tabela3[[#This Row],[Custo unitário]]*Tabela3[[#This Row],[Quantidade]]</f>
        <v>#N/A</v>
      </c>
      <c r="I51" s="95" t="e">
        <f>Tabela3[[#This Row],[Valor total]]-Tabela3[[#This Row],[Custo total]]</f>
        <v>#N/A</v>
      </c>
      <c r="J51" s="54">
        <v>123507</v>
      </c>
      <c r="K51" s="54" t="s">
        <v>61</v>
      </c>
      <c r="L51" s="54" t="s">
        <v>8</v>
      </c>
      <c r="M51" s="54">
        <v>3</v>
      </c>
      <c r="N51" s="95">
        <v>0</v>
      </c>
      <c r="O51" s="78">
        <v>0</v>
      </c>
      <c r="P51" s="95">
        <v>0</v>
      </c>
      <c r="Q51" s="77">
        <v>0</v>
      </c>
      <c r="R51" s="93">
        <v>0</v>
      </c>
    </row>
    <row r="52" spans="1:18" s="67" customFormat="1" x14ac:dyDescent="0.25">
      <c r="A52" s="74">
        <v>44225</v>
      </c>
      <c r="B52" s="23" t="e">
        <v>#N/A</v>
      </c>
      <c r="C52" s="23"/>
      <c r="D52" s="8"/>
      <c r="E52" s="30"/>
      <c r="F52" s="52">
        <f>Tabela3[[#This Row],[Valor Unitário]]*Tabela3[[#This Row],[Quantidade]]</f>
        <v>0</v>
      </c>
      <c r="G52" s="52" t="e">
        <f>VLOOKUP(Tabela3[[#This Row],[Código]],Cadastro_Produto!B:D,3,0)</f>
        <v>#N/A</v>
      </c>
      <c r="H52" s="52" t="e">
        <f>Tabela3[[#This Row],[Custo unitário]]*Tabela3[[#This Row],[Quantidade]]</f>
        <v>#N/A</v>
      </c>
      <c r="I52" s="95" t="e">
        <f>Tabela3[[#This Row],[Valor total]]-Tabela3[[#This Row],[Custo total]]</f>
        <v>#N/A</v>
      </c>
      <c r="J52" s="54">
        <v>123507</v>
      </c>
      <c r="K52" s="54" t="s">
        <v>61</v>
      </c>
      <c r="L52" s="54" t="s">
        <v>8</v>
      </c>
      <c r="M52" s="54">
        <v>3</v>
      </c>
      <c r="N52" s="95">
        <v>0</v>
      </c>
      <c r="O52" s="78">
        <v>0</v>
      </c>
      <c r="P52" s="95">
        <v>0</v>
      </c>
      <c r="Q52" s="77">
        <v>0</v>
      </c>
      <c r="R52" s="93">
        <v>0</v>
      </c>
    </row>
    <row r="53" spans="1:18" s="67" customFormat="1" x14ac:dyDescent="0.25">
      <c r="A53" s="74">
        <v>44225</v>
      </c>
      <c r="B53" s="23">
        <v>1001</v>
      </c>
      <c r="C53" s="23" t="s">
        <v>9</v>
      </c>
      <c r="D53" s="8">
        <v>1</v>
      </c>
      <c r="E53" s="30">
        <v>50</v>
      </c>
      <c r="F53" s="52">
        <f>Tabela3[[#This Row],[Valor Unitário]]*Tabela3[[#This Row],[Quantidade]]</f>
        <v>50</v>
      </c>
      <c r="G53" s="52">
        <f>VLOOKUP(Tabela3[[#This Row],[Código]],Cadastro_Produto!B:D,3,0)</f>
        <v>24.9</v>
      </c>
      <c r="H53" s="52">
        <f>Tabela3[[#This Row],[Custo unitário]]*Tabela3[[#This Row],[Quantidade]]</f>
        <v>24.9</v>
      </c>
      <c r="I53" s="95">
        <f>Tabela3[[#This Row],[Valor total]]-Tabela3[[#This Row],[Custo total]]</f>
        <v>25.1</v>
      </c>
      <c r="J53" s="54">
        <v>123506</v>
      </c>
      <c r="K53" s="54" t="s">
        <v>61</v>
      </c>
      <c r="L53" s="54" t="s">
        <v>8</v>
      </c>
      <c r="M53" s="54">
        <v>3</v>
      </c>
      <c r="N53" s="95">
        <v>0</v>
      </c>
      <c r="O53" s="78">
        <v>0</v>
      </c>
      <c r="P53" s="95">
        <v>1.97</v>
      </c>
      <c r="Q53" s="77">
        <v>48.03</v>
      </c>
      <c r="R53" s="93">
        <v>48.03</v>
      </c>
    </row>
    <row r="54" spans="1:18" s="67" customFormat="1" x14ac:dyDescent="0.25">
      <c r="A54" s="74">
        <v>44225</v>
      </c>
      <c r="B54" s="23">
        <v>1002</v>
      </c>
      <c r="C54" s="23" t="s">
        <v>31</v>
      </c>
      <c r="D54" s="8">
        <v>1</v>
      </c>
      <c r="E54" s="30">
        <v>50</v>
      </c>
      <c r="F54" s="52">
        <f>Tabela3[[#This Row],[Valor Unitário]]*Tabela3[[#This Row],[Quantidade]]</f>
        <v>50</v>
      </c>
      <c r="G54" s="52">
        <f>VLOOKUP(Tabela3[[#This Row],[Código]],Cadastro_Produto!B:D,3,0)</f>
        <v>18.5</v>
      </c>
      <c r="H54" s="52">
        <f>Tabela3[[#This Row],[Custo unitário]]*Tabela3[[#This Row],[Quantidade]]</f>
        <v>18.5</v>
      </c>
      <c r="I54" s="95">
        <f>Tabela3[[#This Row],[Valor total]]-Tabela3[[#This Row],[Custo total]]</f>
        <v>31.5</v>
      </c>
      <c r="J54" s="54">
        <v>123506</v>
      </c>
      <c r="K54" s="54" t="s">
        <v>61</v>
      </c>
      <c r="L54" s="54" t="s">
        <v>8</v>
      </c>
      <c r="M54" s="54">
        <v>3</v>
      </c>
      <c r="N54" s="95">
        <v>0</v>
      </c>
      <c r="O54" s="78">
        <v>0</v>
      </c>
      <c r="P54" s="95">
        <v>1.97</v>
      </c>
      <c r="Q54" s="77">
        <v>48.03</v>
      </c>
      <c r="R54" s="93">
        <v>48.03</v>
      </c>
    </row>
    <row r="55" spans="1:18" s="67" customFormat="1" x14ac:dyDescent="0.25">
      <c r="A55" s="74">
        <v>44225</v>
      </c>
      <c r="B55" s="23">
        <v>1006</v>
      </c>
      <c r="C55" s="23" t="s">
        <v>35</v>
      </c>
      <c r="D55" s="8">
        <v>1</v>
      </c>
      <c r="E55" s="30">
        <v>50</v>
      </c>
      <c r="F55" s="52">
        <f>Tabela3[[#This Row],[Valor Unitário]]*Tabela3[[#This Row],[Quantidade]]</f>
        <v>50</v>
      </c>
      <c r="G55" s="52">
        <f>VLOOKUP(Tabela3[[#This Row],[Código]],Cadastro_Produto!B:D,3,0)</f>
        <v>35.5</v>
      </c>
      <c r="H55" s="52">
        <f>Tabela3[[#This Row],[Custo unitário]]*Tabela3[[#This Row],[Quantidade]]</f>
        <v>35.5</v>
      </c>
      <c r="I55" s="95">
        <f>Tabela3[[#This Row],[Valor total]]-Tabela3[[#This Row],[Custo total]]</f>
        <v>14.5</v>
      </c>
      <c r="J55" s="54">
        <v>123506</v>
      </c>
      <c r="K55" s="54" t="s">
        <v>61</v>
      </c>
      <c r="L55" s="54" t="s">
        <v>8</v>
      </c>
      <c r="M55" s="54">
        <v>3</v>
      </c>
      <c r="N55" s="95">
        <v>0</v>
      </c>
      <c r="O55" s="78">
        <v>0</v>
      </c>
      <c r="P55" s="95">
        <v>1.97</v>
      </c>
      <c r="Q55" s="77">
        <v>48.03</v>
      </c>
      <c r="R55" s="93">
        <v>48.03</v>
      </c>
    </row>
    <row r="56" spans="1:18" s="67" customFormat="1" x14ac:dyDescent="0.25">
      <c r="A56" s="74">
        <v>44225</v>
      </c>
      <c r="B56" s="23">
        <v>1007</v>
      </c>
      <c r="C56" s="23" t="s">
        <v>37</v>
      </c>
      <c r="D56" s="8">
        <v>1</v>
      </c>
      <c r="E56" s="30">
        <v>50</v>
      </c>
      <c r="F56" s="52">
        <f>Tabela3[[#This Row],[Valor Unitário]]*Tabela3[[#This Row],[Quantidade]]</f>
        <v>50</v>
      </c>
      <c r="G56" s="52">
        <f>VLOOKUP(Tabela3[[#This Row],[Código]],Cadastro_Produto!B:D,3,0)</f>
        <v>29.9</v>
      </c>
      <c r="H56" s="52">
        <f>Tabela3[[#This Row],[Custo unitário]]*Tabela3[[#This Row],[Quantidade]]</f>
        <v>29.9</v>
      </c>
      <c r="I56" s="95">
        <f>Tabela3[[#This Row],[Valor total]]-Tabela3[[#This Row],[Custo total]]</f>
        <v>20.100000000000001</v>
      </c>
      <c r="J56" s="54">
        <v>123506</v>
      </c>
      <c r="K56" s="54" t="s">
        <v>61</v>
      </c>
      <c r="L56" s="54" t="s">
        <v>8</v>
      </c>
      <c r="M56" s="54">
        <v>3</v>
      </c>
      <c r="N56" s="95">
        <v>0</v>
      </c>
      <c r="O56" s="78">
        <v>0</v>
      </c>
      <c r="P56" s="95">
        <v>1.97</v>
      </c>
      <c r="Q56" s="77">
        <v>48.03</v>
      </c>
      <c r="R56" s="93">
        <v>48.03</v>
      </c>
    </row>
    <row r="57" spans="1:18" s="67" customFormat="1" x14ac:dyDescent="0.25">
      <c r="A57" s="74">
        <v>44225</v>
      </c>
      <c r="B57" s="23">
        <v>1008</v>
      </c>
      <c r="C57" s="23" t="s">
        <v>38</v>
      </c>
      <c r="D57" s="8">
        <v>1</v>
      </c>
      <c r="E57" s="30">
        <v>50</v>
      </c>
      <c r="F57" s="52">
        <f>Tabela3[[#This Row],[Valor Unitário]]*Tabela3[[#This Row],[Quantidade]]</f>
        <v>50</v>
      </c>
      <c r="G57" s="52">
        <f>VLOOKUP(Tabela3[[#This Row],[Código]],Cadastro_Produto!B:D,3,0)</f>
        <v>32.9</v>
      </c>
      <c r="H57" s="52">
        <f>Tabela3[[#This Row],[Custo unitário]]*Tabela3[[#This Row],[Quantidade]]</f>
        <v>32.9</v>
      </c>
      <c r="I57" s="95">
        <f>Tabela3[[#This Row],[Valor total]]-Tabela3[[#This Row],[Custo total]]</f>
        <v>17.100000000000001</v>
      </c>
      <c r="J57" s="54">
        <v>123506</v>
      </c>
      <c r="K57" s="54" t="s">
        <v>61</v>
      </c>
      <c r="L57" s="54" t="s">
        <v>8</v>
      </c>
      <c r="M57" s="54">
        <v>3</v>
      </c>
      <c r="N57" s="95">
        <v>0</v>
      </c>
      <c r="O57" s="78">
        <v>0</v>
      </c>
      <c r="P57" s="95">
        <v>1.97</v>
      </c>
      <c r="Q57" s="77">
        <v>48.03</v>
      </c>
      <c r="R57" s="93">
        <v>48.03</v>
      </c>
    </row>
    <row r="58" spans="1:18" s="67" customFormat="1" x14ac:dyDescent="0.25">
      <c r="A58" s="74">
        <v>44225</v>
      </c>
      <c r="B58" s="23">
        <v>1004</v>
      </c>
      <c r="C58" s="23" t="s">
        <v>6</v>
      </c>
      <c r="D58" s="8">
        <v>1</v>
      </c>
      <c r="E58" s="30">
        <v>191.5</v>
      </c>
      <c r="F58" s="52">
        <f>Tabela3[[#This Row],[Valor Unitário]]*Tabela3[[#This Row],[Quantidade]]</f>
        <v>191.5</v>
      </c>
      <c r="G58" s="52">
        <f>VLOOKUP(Tabela3[[#This Row],[Código]],Cadastro_Produto!B:D,3,0)</f>
        <v>99.5</v>
      </c>
      <c r="H58" s="52">
        <f>Tabela3[[#This Row],[Custo unitário]]*Tabela3[[#This Row],[Quantidade]]</f>
        <v>99.5</v>
      </c>
      <c r="I58" s="95">
        <f>Tabela3[[#This Row],[Valor total]]-Tabela3[[#This Row],[Custo total]]</f>
        <v>92</v>
      </c>
      <c r="J58" s="54">
        <v>123505</v>
      </c>
      <c r="K58" s="54" t="s">
        <v>63</v>
      </c>
      <c r="L58" s="54" t="s">
        <v>8</v>
      </c>
      <c r="M58" s="54"/>
      <c r="N58" s="95">
        <v>0</v>
      </c>
      <c r="O58" s="78">
        <v>0</v>
      </c>
      <c r="P58" s="95">
        <v>0</v>
      </c>
      <c r="Q58" s="77">
        <v>0</v>
      </c>
      <c r="R58" s="93">
        <v>191.5</v>
      </c>
    </row>
    <row r="59" spans="1:18" s="67" customFormat="1" x14ac:dyDescent="0.25">
      <c r="A59" s="74">
        <v>44225</v>
      </c>
      <c r="B59" s="23">
        <v>1007</v>
      </c>
      <c r="C59" s="23" t="s">
        <v>37</v>
      </c>
      <c r="D59" s="8">
        <v>1</v>
      </c>
      <c r="E59" s="30">
        <v>55</v>
      </c>
      <c r="F59" s="52">
        <f>Tabela3[[#This Row],[Valor Unitário]]*Tabela3[[#This Row],[Quantidade]]</f>
        <v>55</v>
      </c>
      <c r="G59" s="52">
        <f>VLOOKUP(Tabela3[[#This Row],[Código]],Cadastro_Produto!B:D,3,0)</f>
        <v>29.9</v>
      </c>
      <c r="H59" s="52">
        <f>Tabela3[[#This Row],[Custo unitário]]*Tabela3[[#This Row],[Quantidade]]</f>
        <v>29.9</v>
      </c>
      <c r="I59" s="95">
        <f>Tabela3[[#This Row],[Valor total]]-Tabela3[[#This Row],[Custo total]]</f>
        <v>25.1</v>
      </c>
      <c r="J59" s="54">
        <v>123505</v>
      </c>
      <c r="K59" s="54" t="s">
        <v>63</v>
      </c>
      <c r="L59" s="54" t="s">
        <v>8</v>
      </c>
      <c r="M59" s="54"/>
      <c r="N59" s="95">
        <v>0</v>
      </c>
      <c r="O59" s="78">
        <v>0</v>
      </c>
      <c r="P59" s="95">
        <v>0</v>
      </c>
      <c r="Q59" s="77">
        <v>0</v>
      </c>
      <c r="R59" s="93">
        <v>55</v>
      </c>
    </row>
    <row r="60" spans="1:18" s="67" customFormat="1" x14ac:dyDescent="0.25">
      <c r="A60" s="74">
        <v>44225</v>
      </c>
      <c r="B60" s="23" t="e">
        <v>#N/A</v>
      </c>
      <c r="C60" s="23"/>
      <c r="D60" s="8"/>
      <c r="E60" s="30"/>
      <c r="F60" s="52">
        <f>Tabela3[[#This Row],[Valor Unitário]]*Tabela3[[#This Row],[Quantidade]]</f>
        <v>0</v>
      </c>
      <c r="G60" s="52" t="e">
        <f>VLOOKUP(Tabela3[[#This Row],[Código]],Cadastro_Produto!B:D,3,0)</f>
        <v>#N/A</v>
      </c>
      <c r="H60" s="52" t="e">
        <f>Tabela3[[#This Row],[Custo unitário]]*Tabela3[[#This Row],[Quantidade]]</f>
        <v>#N/A</v>
      </c>
      <c r="I60" s="95" t="e">
        <f>Tabela3[[#This Row],[Valor total]]-Tabela3[[#This Row],[Custo total]]</f>
        <v>#N/A</v>
      </c>
      <c r="J60" s="54">
        <v>123505</v>
      </c>
      <c r="K60" s="54" t="s">
        <v>63</v>
      </c>
      <c r="L60" s="54" t="s">
        <v>8</v>
      </c>
      <c r="M60" s="54"/>
      <c r="N60" s="95">
        <v>0</v>
      </c>
      <c r="O60" s="78">
        <v>0</v>
      </c>
      <c r="P60" s="95">
        <v>0</v>
      </c>
      <c r="Q60" s="77">
        <v>0</v>
      </c>
      <c r="R60" s="93">
        <v>0</v>
      </c>
    </row>
    <row r="61" spans="1:18" s="67" customFormat="1" x14ac:dyDescent="0.25">
      <c r="A61" s="74">
        <v>44225</v>
      </c>
      <c r="B61" s="23" t="e">
        <v>#N/A</v>
      </c>
      <c r="C61" s="23"/>
      <c r="D61" s="8"/>
      <c r="E61" s="30"/>
      <c r="F61" s="52">
        <f>Tabela3[[#This Row],[Valor Unitário]]*Tabela3[[#This Row],[Quantidade]]</f>
        <v>0</v>
      </c>
      <c r="G61" s="52" t="e">
        <f>VLOOKUP(Tabela3[[#This Row],[Código]],Cadastro_Produto!B:D,3,0)</f>
        <v>#N/A</v>
      </c>
      <c r="H61" s="52" t="e">
        <f>Tabela3[[#This Row],[Custo unitário]]*Tabela3[[#This Row],[Quantidade]]</f>
        <v>#N/A</v>
      </c>
      <c r="I61" s="95" t="e">
        <f>Tabela3[[#This Row],[Valor total]]-Tabela3[[#This Row],[Custo total]]</f>
        <v>#N/A</v>
      </c>
      <c r="J61" s="54">
        <v>123505</v>
      </c>
      <c r="K61" s="54" t="s">
        <v>63</v>
      </c>
      <c r="L61" s="54" t="s">
        <v>8</v>
      </c>
      <c r="M61" s="54"/>
      <c r="N61" s="95">
        <v>0</v>
      </c>
      <c r="O61" s="78">
        <v>0</v>
      </c>
      <c r="P61" s="95">
        <v>0</v>
      </c>
      <c r="Q61" s="77">
        <v>0</v>
      </c>
      <c r="R61" s="93">
        <v>0</v>
      </c>
    </row>
    <row r="62" spans="1:18" s="67" customFormat="1" x14ac:dyDescent="0.25">
      <c r="A62" s="74">
        <v>44225</v>
      </c>
      <c r="B62" s="23" t="e">
        <v>#N/A</v>
      </c>
      <c r="C62" s="23"/>
      <c r="D62" s="8"/>
      <c r="E62" s="30"/>
      <c r="F62" s="52">
        <f>Tabela3[[#This Row],[Valor Unitário]]*Tabela3[[#This Row],[Quantidade]]</f>
        <v>0</v>
      </c>
      <c r="G62" s="52" t="e">
        <f>VLOOKUP(Tabela3[[#This Row],[Código]],Cadastro_Produto!B:D,3,0)</f>
        <v>#N/A</v>
      </c>
      <c r="H62" s="52" t="e">
        <f>Tabela3[[#This Row],[Custo unitário]]*Tabela3[[#This Row],[Quantidade]]</f>
        <v>#N/A</v>
      </c>
      <c r="I62" s="95" t="e">
        <f>Tabela3[[#This Row],[Valor total]]-Tabela3[[#This Row],[Custo total]]</f>
        <v>#N/A</v>
      </c>
      <c r="J62" s="54">
        <v>123505</v>
      </c>
      <c r="K62" s="54" t="s">
        <v>63</v>
      </c>
      <c r="L62" s="54" t="s">
        <v>8</v>
      </c>
      <c r="M62" s="54"/>
      <c r="N62" s="95">
        <v>0</v>
      </c>
      <c r="O62" s="78">
        <v>0</v>
      </c>
      <c r="P62" s="95">
        <v>0</v>
      </c>
      <c r="Q62" s="77">
        <v>0</v>
      </c>
      <c r="R62" s="93">
        <v>0</v>
      </c>
    </row>
    <row r="63" spans="1:18" s="67" customFormat="1" x14ac:dyDescent="0.25">
      <c r="A63" s="74">
        <v>44225</v>
      </c>
      <c r="B63" s="23">
        <v>1009</v>
      </c>
      <c r="C63" s="23" t="s">
        <v>40</v>
      </c>
      <c r="D63" s="8">
        <v>1</v>
      </c>
      <c r="E63" s="30">
        <v>65</v>
      </c>
      <c r="F63" s="52">
        <f>Tabela3[[#This Row],[Valor Unitário]]*Tabela3[[#This Row],[Quantidade]]</f>
        <v>65</v>
      </c>
      <c r="G63" s="52">
        <f>VLOOKUP(Tabela3[[#This Row],[Código]],Cadastro_Produto!B:D,3,0)</f>
        <v>38.9</v>
      </c>
      <c r="H63" s="52">
        <f>Tabela3[[#This Row],[Custo unitário]]*Tabela3[[#This Row],[Quantidade]]</f>
        <v>38.9</v>
      </c>
      <c r="I63" s="95">
        <f>Tabela3[[#This Row],[Valor total]]-Tabela3[[#This Row],[Custo total]]</f>
        <v>26.1</v>
      </c>
      <c r="J63" s="54">
        <v>123504</v>
      </c>
      <c r="K63" s="54" t="s">
        <v>7</v>
      </c>
      <c r="L63" s="54" t="s">
        <v>75</v>
      </c>
      <c r="M63" s="54"/>
      <c r="N63" s="95">
        <v>0</v>
      </c>
      <c r="O63" s="78">
        <v>0</v>
      </c>
      <c r="P63" s="95">
        <v>0</v>
      </c>
      <c r="Q63" s="77">
        <v>0</v>
      </c>
      <c r="R63" s="93">
        <v>65</v>
      </c>
    </row>
    <row r="64" spans="1:18" s="67" customFormat="1" x14ac:dyDescent="0.25">
      <c r="A64" s="74">
        <v>44225</v>
      </c>
      <c r="B64" s="23">
        <v>1008</v>
      </c>
      <c r="C64" s="23" t="s">
        <v>38</v>
      </c>
      <c r="D64" s="8">
        <v>1</v>
      </c>
      <c r="E64" s="30">
        <v>50</v>
      </c>
      <c r="F64" s="52">
        <f>Tabela3[[#This Row],[Valor Unitário]]*Tabela3[[#This Row],[Quantidade]]</f>
        <v>50</v>
      </c>
      <c r="G64" s="52">
        <f>VLOOKUP(Tabela3[[#This Row],[Código]],Cadastro_Produto!B:D,3,0)</f>
        <v>32.9</v>
      </c>
      <c r="H64" s="52">
        <f>Tabela3[[#This Row],[Custo unitário]]*Tabela3[[#This Row],[Quantidade]]</f>
        <v>32.9</v>
      </c>
      <c r="I64" s="95">
        <f>Tabela3[[#This Row],[Valor total]]-Tabela3[[#This Row],[Custo total]]</f>
        <v>17.100000000000001</v>
      </c>
      <c r="J64" s="54">
        <v>123504</v>
      </c>
      <c r="K64" s="54" t="s">
        <v>7</v>
      </c>
      <c r="L64" s="54" t="s">
        <v>75</v>
      </c>
      <c r="M64" s="54"/>
      <c r="N64" s="95">
        <v>0</v>
      </c>
      <c r="O64" s="78">
        <v>0</v>
      </c>
      <c r="P64" s="95">
        <v>0</v>
      </c>
      <c r="Q64" s="77">
        <v>0</v>
      </c>
      <c r="R64" s="93">
        <v>50</v>
      </c>
    </row>
    <row r="65" spans="1:18" s="67" customFormat="1" x14ac:dyDescent="0.25">
      <c r="A65" s="74">
        <v>44225</v>
      </c>
      <c r="B65" s="23">
        <v>1010</v>
      </c>
      <c r="C65" s="23" t="s">
        <v>41</v>
      </c>
      <c r="D65" s="8">
        <v>1</v>
      </c>
      <c r="E65" s="30">
        <v>55</v>
      </c>
      <c r="F65" s="52">
        <f>Tabela3[[#This Row],[Valor Unitário]]*Tabela3[[#This Row],[Quantidade]]</f>
        <v>55</v>
      </c>
      <c r="G65" s="52">
        <f>VLOOKUP(Tabela3[[#This Row],[Código]],Cadastro_Produto!B:D,3,0)</f>
        <v>18.899999999999999</v>
      </c>
      <c r="H65" s="52">
        <f>Tabela3[[#This Row],[Custo unitário]]*Tabela3[[#This Row],[Quantidade]]</f>
        <v>18.899999999999999</v>
      </c>
      <c r="I65" s="95">
        <f>Tabela3[[#This Row],[Valor total]]-Tabela3[[#This Row],[Custo total]]</f>
        <v>36.1</v>
      </c>
      <c r="J65" s="54">
        <v>123504</v>
      </c>
      <c r="K65" s="54" t="s">
        <v>7</v>
      </c>
      <c r="L65" s="54" t="s">
        <v>75</v>
      </c>
      <c r="M65" s="54"/>
      <c r="N65" s="95">
        <v>0</v>
      </c>
      <c r="O65" s="78">
        <v>0</v>
      </c>
      <c r="P65" s="95">
        <v>0</v>
      </c>
      <c r="Q65" s="77">
        <v>0</v>
      </c>
      <c r="R65" s="93">
        <v>55</v>
      </c>
    </row>
    <row r="66" spans="1:18" s="67" customFormat="1" x14ac:dyDescent="0.25">
      <c r="A66" s="74">
        <v>44225</v>
      </c>
      <c r="B66" s="23">
        <v>1002</v>
      </c>
      <c r="C66" s="23" t="s">
        <v>31</v>
      </c>
      <c r="D66" s="8">
        <v>1</v>
      </c>
      <c r="E66" s="30">
        <v>50</v>
      </c>
      <c r="F66" s="52">
        <f>Tabela3[[#This Row],[Valor Unitário]]*Tabela3[[#This Row],[Quantidade]]</f>
        <v>50</v>
      </c>
      <c r="G66" s="52">
        <f>VLOOKUP(Tabela3[[#This Row],[Código]],Cadastro_Produto!B:D,3,0)</f>
        <v>18.5</v>
      </c>
      <c r="H66" s="52">
        <f>Tabela3[[#This Row],[Custo unitário]]*Tabela3[[#This Row],[Quantidade]]</f>
        <v>18.5</v>
      </c>
      <c r="I66" s="95">
        <f>Tabela3[[#This Row],[Valor total]]-Tabela3[[#This Row],[Custo total]]</f>
        <v>31.5</v>
      </c>
      <c r="J66" s="54">
        <v>123504</v>
      </c>
      <c r="K66" s="54" t="s">
        <v>7</v>
      </c>
      <c r="L66" s="54" t="s">
        <v>75</v>
      </c>
      <c r="M66" s="54"/>
      <c r="N66" s="95">
        <v>0</v>
      </c>
      <c r="O66" s="78">
        <v>0</v>
      </c>
      <c r="P66" s="95">
        <v>0</v>
      </c>
      <c r="Q66" s="77">
        <v>0</v>
      </c>
      <c r="R66" s="93">
        <v>50</v>
      </c>
    </row>
    <row r="67" spans="1:18" s="67" customFormat="1" x14ac:dyDescent="0.25">
      <c r="A67" s="74">
        <v>44225</v>
      </c>
      <c r="B67" s="23">
        <v>1001</v>
      </c>
      <c r="C67" s="23" t="s">
        <v>9</v>
      </c>
      <c r="D67" s="8">
        <v>1</v>
      </c>
      <c r="E67" s="30">
        <v>65</v>
      </c>
      <c r="F67" s="52">
        <f>Tabela3[[#This Row],[Valor Unitário]]*Tabela3[[#This Row],[Quantidade]]</f>
        <v>65</v>
      </c>
      <c r="G67" s="52">
        <f>VLOOKUP(Tabela3[[#This Row],[Código]],Cadastro_Produto!B:D,3,0)</f>
        <v>24.9</v>
      </c>
      <c r="H67" s="52">
        <f>Tabela3[[#This Row],[Custo unitário]]*Tabela3[[#This Row],[Quantidade]]</f>
        <v>24.9</v>
      </c>
      <c r="I67" s="95">
        <f>Tabela3[[#This Row],[Valor total]]-Tabela3[[#This Row],[Custo total]]</f>
        <v>40.1</v>
      </c>
      <c r="J67" s="54">
        <v>123504</v>
      </c>
      <c r="K67" s="54" t="s">
        <v>7</v>
      </c>
      <c r="L67" s="54" t="s">
        <v>75</v>
      </c>
      <c r="M67" s="54"/>
      <c r="N67" s="95">
        <v>0</v>
      </c>
      <c r="O67" s="78">
        <v>0</v>
      </c>
      <c r="P67" s="95">
        <v>0</v>
      </c>
      <c r="Q67" s="77">
        <v>0</v>
      </c>
      <c r="R67" s="93">
        <v>65</v>
      </c>
    </row>
    <row r="68" spans="1:18" s="67" customFormat="1" x14ac:dyDescent="0.25">
      <c r="A68" s="74">
        <v>44225</v>
      </c>
      <c r="B68" s="23">
        <v>1001</v>
      </c>
      <c r="C68" s="23" t="s">
        <v>9</v>
      </c>
      <c r="D68" s="8">
        <v>1</v>
      </c>
      <c r="E68" s="30">
        <v>50</v>
      </c>
      <c r="F68" s="52">
        <f>Tabela3[[#This Row],[Valor Unitário]]*Tabela3[[#This Row],[Quantidade]]</f>
        <v>50</v>
      </c>
      <c r="G68" s="52">
        <f>VLOOKUP(Tabela3[[#This Row],[Código]],Cadastro_Produto!B:D,3,0)</f>
        <v>24.9</v>
      </c>
      <c r="H68" s="52">
        <f>Tabela3[[#This Row],[Custo unitário]]*Tabela3[[#This Row],[Quantidade]]</f>
        <v>24.9</v>
      </c>
      <c r="I68" s="95">
        <f>Tabela3[[#This Row],[Valor total]]-Tabela3[[#This Row],[Custo total]]</f>
        <v>25.1</v>
      </c>
      <c r="J68" s="54">
        <v>123503</v>
      </c>
      <c r="K68" s="54" t="s">
        <v>62</v>
      </c>
      <c r="L68" s="54" t="s">
        <v>75</v>
      </c>
      <c r="M68" s="54"/>
      <c r="N68" s="95">
        <v>0.99500000000000011</v>
      </c>
      <c r="O68" s="78">
        <v>49.005000000000003</v>
      </c>
      <c r="P68" s="95">
        <v>0</v>
      </c>
      <c r="Q68" s="77">
        <v>0</v>
      </c>
      <c r="R68" s="93">
        <v>49.005000000000003</v>
      </c>
    </row>
    <row r="69" spans="1:18" s="67" customFormat="1" x14ac:dyDescent="0.25">
      <c r="A69" s="74">
        <v>44225</v>
      </c>
      <c r="B69" s="23">
        <v>1002</v>
      </c>
      <c r="C69" s="23" t="s">
        <v>31</v>
      </c>
      <c r="D69" s="8">
        <v>1</v>
      </c>
      <c r="E69" s="30">
        <v>50</v>
      </c>
      <c r="F69" s="52">
        <f>Tabela3[[#This Row],[Valor Unitário]]*Tabela3[[#This Row],[Quantidade]]</f>
        <v>50</v>
      </c>
      <c r="G69" s="52">
        <f>VLOOKUP(Tabela3[[#This Row],[Código]],Cadastro_Produto!B:D,3,0)</f>
        <v>18.5</v>
      </c>
      <c r="H69" s="52">
        <f>Tabela3[[#This Row],[Custo unitário]]*Tabela3[[#This Row],[Quantidade]]</f>
        <v>18.5</v>
      </c>
      <c r="I69" s="95">
        <f>Tabela3[[#This Row],[Valor total]]-Tabela3[[#This Row],[Custo total]]</f>
        <v>31.5</v>
      </c>
      <c r="J69" s="54">
        <v>123503</v>
      </c>
      <c r="K69" s="54" t="s">
        <v>62</v>
      </c>
      <c r="L69" s="54" t="s">
        <v>75</v>
      </c>
      <c r="M69" s="54"/>
      <c r="N69" s="95">
        <v>0.99500000000000011</v>
      </c>
      <c r="O69" s="78">
        <v>49.005000000000003</v>
      </c>
      <c r="P69" s="95">
        <v>0</v>
      </c>
      <c r="Q69" s="77">
        <v>0</v>
      </c>
      <c r="R69" s="93">
        <v>49.005000000000003</v>
      </c>
    </row>
    <row r="70" spans="1:18" s="67" customFormat="1" x14ac:dyDescent="0.25">
      <c r="A70" s="74">
        <v>44225</v>
      </c>
      <c r="B70" s="23">
        <v>1006</v>
      </c>
      <c r="C70" s="23" t="s">
        <v>35</v>
      </c>
      <c r="D70" s="8">
        <v>1</v>
      </c>
      <c r="E70" s="30">
        <v>50</v>
      </c>
      <c r="F70" s="52">
        <f>Tabela3[[#This Row],[Valor Unitário]]*Tabela3[[#This Row],[Quantidade]]</f>
        <v>50</v>
      </c>
      <c r="G70" s="52">
        <f>VLOOKUP(Tabela3[[#This Row],[Código]],Cadastro_Produto!B:D,3,0)</f>
        <v>35.5</v>
      </c>
      <c r="H70" s="52">
        <f>Tabela3[[#This Row],[Custo unitário]]*Tabela3[[#This Row],[Quantidade]]</f>
        <v>35.5</v>
      </c>
      <c r="I70" s="95">
        <f>Tabela3[[#This Row],[Valor total]]-Tabela3[[#This Row],[Custo total]]</f>
        <v>14.5</v>
      </c>
      <c r="J70" s="54">
        <v>123503</v>
      </c>
      <c r="K70" s="54" t="s">
        <v>62</v>
      </c>
      <c r="L70" s="54" t="s">
        <v>75</v>
      </c>
      <c r="M70" s="54"/>
      <c r="N70" s="95">
        <v>0.99500000000000011</v>
      </c>
      <c r="O70" s="78">
        <v>49.005000000000003</v>
      </c>
      <c r="P70" s="95">
        <v>0</v>
      </c>
      <c r="Q70" s="77">
        <v>0</v>
      </c>
      <c r="R70" s="93">
        <v>49.005000000000003</v>
      </c>
    </row>
    <row r="71" spans="1:18" s="67" customFormat="1" x14ac:dyDescent="0.25">
      <c r="A71" s="74">
        <v>44225</v>
      </c>
      <c r="B71" s="23">
        <v>1009</v>
      </c>
      <c r="C71" s="23" t="s">
        <v>40</v>
      </c>
      <c r="D71" s="8">
        <v>1</v>
      </c>
      <c r="E71" s="30">
        <v>50</v>
      </c>
      <c r="F71" s="52">
        <f>Tabela3[[#This Row],[Valor Unitário]]*Tabela3[[#This Row],[Quantidade]]</f>
        <v>50</v>
      </c>
      <c r="G71" s="52">
        <f>VLOOKUP(Tabela3[[#This Row],[Código]],Cadastro_Produto!B:D,3,0)</f>
        <v>38.9</v>
      </c>
      <c r="H71" s="52">
        <f>Tabela3[[#This Row],[Custo unitário]]*Tabela3[[#This Row],[Quantidade]]</f>
        <v>38.9</v>
      </c>
      <c r="I71" s="95">
        <f>Tabela3[[#This Row],[Valor total]]-Tabela3[[#This Row],[Custo total]]</f>
        <v>11.100000000000001</v>
      </c>
      <c r="J71" s="54">
        <v>123503</v>
      </c>
      <c r="K71" s="54" t="s">
        <v>62</v>
      </c>
      <c r="L71" s="54" t="s">
        <v>75</v>
      </c>
      <c r="M71" s="54"/>
      <c r="N71" s="95">
        <v>0.99500000000000011</v>
      </c>
      <c r="O71" s="78">
        <v>49.005000000000003</v>
      </c>
      <c r="P71" s="95">
        <v>0</v>
      </c>
      <c r="Q71" s="77">
        <v>0</v>
      </c>
      <c r="R71" s="93">
        <v>49.005000000000003</v>
      </c>
    </row>
    <row r="72" spans="1:18" s="67" customFormat="1" x14ac:dyDescent="0.25">
      <c r="A72" s="74">
        <v>44225</v>
      </c>
      <c r="B72" s="23">
        <v>1007</v>
      </c>
      <c r="C72" s="23" t="s">
        <v>37</v>
      </c>
      <c r="D72" s="8">
        <v>1</v>
      </c>
      <c r="E72" s="30">
        <v>50</v>
      </c>
      <c r="F72" s="52">
        <f>Tabela3[[#This Row],[Valor Unitário]]*Tabela3[[#This Row],[Quantidade]]</f>
        <v>50</v>
      </c>
      <c r="G72" s="52">
        <f>VLOOKUP(Tabela3[[#This Row],[Código]],Cadastro_Produto!B:D,3,0)</f>
        <v>29.9</v>
      </c>
      <c r="H72" s="52">
        <f>Tabela3[[#This Row],[Custo unitário]]*Tabela3[[#This Row],[Quantidade]]</f>
        <v>29.9</v>
      </c>
      <c r="I72" s="95">
        <f>Tabela3[[#This Row],[Valor total]]-Tabela3[[#This Row],[Custo total]]</f>
        <v>20.100000000000001</v>
      </c>
      <c r="J72" s="54">
        <v>123503</v>
      </c>
      <c r="K72" s="54" t="s">
        <v>62</v>
      </c>
      <c r="L72" s="54" t="s">
        <v>75</v>
      </c>
      <c r="M72" s="54"/>
      <c r="N72" s="95">
        <v>0.99500000000000011</v>
      </c>
      <c r="O72" s="78">
        <v>49.005000000000003</v>
      </c>
      <c r="P72" s="95">
        <v>0</v>
      </c>
      <c r="Q72" s="77">
        <v>0</v>
      </c>
      <c r="R72" s="93">
        <v>49.005000000000003</v>
      </c>
    </row>
    <row r="73" spans="1:18" s="67" customFormat="1" x14ac:dyDescent="0.25">
      <c r="A73" s="74">
        <v>44225</v>
      </c>
      <c r="B73" s="23">
        <v>1010</v>
      </c>
      <c r="C73" s="23" t="s">
        <v>41</v>
      </c>
      <c r="D73" s="8">
        <v>1</v>
      </c>
      <c r="E73" s="30">
        <v>50</v>
      </c>
      <c r="F73" s="52">
        <f>Tabela3[[#This Row],[Valor Unitário]]*Tabela3[[#This Row],[Quantidade]]</f>
        <v>50</v>
      </c>
      <c r="G73" s="52">
        <f>VLOOKUP(Tabela3[[#This Row],[Código]],Cadastro_Produto!B:D,3,0)</f>
        <v>18.899999999999999</v>
      </c>
      <c r="H73" s="52">
        <f>Tabela3[[#This Row],[Custo unitário]]*Tabela3[[#This Row],[Quantidade]]</f>
        <v>18.899999999999999</v>
      </c>
      <c r="I73" s="95">
        <f>Tabela3[[#This Row],[Valor total]]-Tabela3[[#This Row],[Custo total]]</f>
        <v>31.1</v>
      </c>
      <c r="J73" s="54">
        <v>123502</v>
      </c>
      <c r="K73" s="54" t="s">
        <v>61</v>
      </c>
      <c r="L73" s="54" t="s">
        <v>8</v>
      </c>
      <c r="M73" s="54">
        <v>2</v>
      </c>
      <c r="N73" s="95">
        <v>0</v>
      </c>
      <c r="O73" s="78">
        <v>0</v>
      </c>
      <c r="P73" s="95">
        <v>1.8000000000000003</v>
      </c>
      <c r="Q73" s="77">
        <v>48.2</v>
      </c>
      <c r="R73" s="93">
        <v>48.2</v>
      </c>
    </row>
    <row r="74" spans="1:18" s="67" customFormat="1" x14ac:dyDescent="0.25">
      <c r="A74" s="74">
        <v>44225</v>
      </c>
      <c r="B74" s="23">
        <v>1009</v>
      </c>
      <c r="C74" s="23" t="s">
        <v>40</v>
      </c>
      <c r="D74" s="8">
        <v>1</v>
      </c>
      <c r="E74" s="30">
        <v>50</v>
      </c>
      <c r="F74" s="52">
        <f>Tabela3[[#This Row],[Valor Unitário]]*Tabela3[[#This Row],[Quantidade]]</f>
        <v>50</v>
      </c>
      <c r="G74" s="52">
        <f>VLOOKUP(Tabela3[[#This Row],[Código]],Cadastro_Produto!B:D,3,0)</f>
        <v>38.9</v>
      </c>
      <c r="H74" s="52">
        <f>Tabela3[[#This Row],[Custo unitário]]*Tabela3[[#This Row],[Quantidade]]</f>
        <v>38.9</v>
      </c>
      <c r="I74" s="95">
        <f>Tabela3[[#This Row],[Valor total]]-Tabela3[[#This Row],[Custo total]]</f>
        <v>11.100000000000001</v>
      </c>
      <c r="J74" s="54">
        <v>123502</v>
      </c>
      <c r="K74" s="54" t="s">
        <v>61</v>
      </c>
      <c r="L74" s="54" t="s">
        <v>8</v>
      </c>
      <c r="M74" s="54">
        <v>2</v>
      </c>
      <c r="N74" s="95">
        <v>0</v>
      </c>
      <c r="O74" s="78">
        <v>0</v>
      </c>
      <c r="P74" s="95">
        <v>1.8000000000000003</v>
      </c>
      <c r="Q74" s="77">
        <v>48.2</v>
      </c>
      <c r="R74" s="93">
        <v>48.2</v>
      </c>
    </row>
    <row r="75" spans="1:18" s="67" customFormat="1" x14ac:dyDescent="0.25">
      <c r="A75" s="74">
        <v>44225</v>
      </c>
      <c r="B75" s="23">
        <v>1008</v>
      </c>
      <c r="C75" s="23" t="s">
        <v>38</v>
      </c>
      <c r="D75" s="8">
        <v>1</v>
      </c>
      <c r="E75" s="30">
        <v>50</v>
      </c>
      <c r="F75" s="52">
        <f>Tabela3[[#This Row],[Valor Unitário]]*Tabela3[[#This Row],[Quantidade]]</f>
        <v>50</v>
      </c>
      <c r="G75" s="52">
        <f>VLOOKUP(Tabela3[[#This Row],[Código]],Cadastro_Produto!B:D,3,0)</f>
        <v>32.9</v>
      </c>
      <c r="H75" s="52">
        <f>Tabela3[[#This Row],[Custo unitário]]*Tabela3[[#This Row],[Quantidade]]</f>
        <v>32.9</v>
      </c>
      <c r="I75" s="95">
        <f>Tabela3[[#This Row],[Valor total]]-Tabela3[[#This Row],[Custo total]]</f>
        <v>17.100000000000001</v>
      </c>
      <c r="J75" s="54">
        <v>123502</v>
      </c>
      <c r="K75" s="54" t="s">
        <v>61</v>
      </c>
      <c r="L75" s="54" t="s">
        <v>8</v>
      </c>
      <c r="M75" s="54">
        <v>2</v>
      </c>
      <c r="N75" s="95">
        <v>0</v>
      </c>
      <c r="O75" s="78">
        <v>0</v>
      </c>
      <c r="P75" s="95">
        <v>1.8000000000000003</v>
      </c>
      <c r="Q75" s="77">
        <v>48.2</v>
      </c>
      <c r="R75" s="93">
        <v>48.2</v>
      </c>
    </row>
    <row r="76" spans="1:18" s="67" customFormat="1" x14ac:dyDescent="0.25">
      <c r="A76" s="74">
        <v>44225</v>
      </c>
      <c r="B76" s="23">
        <v>1007</v>
      </c>
      <c r="C76" s="23" t="s">
        <v>37</v>
      </c>
      <c r="D76" s="8">
        <v>1</v>
      </c>
      <c r="E76" s="30">
        <v>50</v>
      </c>
      <c r="F76" s="52">
        <f>Tabela3[[#This Row],[Valor Unitário]]*Tabela3[[#This Row],[Quantidade]]</f>
        <v>50</v>
      </c>
      <c r="G76" s="52">
        <f>VLOOKUP(Tabela3[[#This Row],[Código]],Cadastro_Produto!B:D,3,0)</f>
        <v>29.9</v>
      </c>
      <c r="H76" s="52">
        <f>Tabela3[[#This Row],[Custo unitário]]*Tabela3[[#This Row],[Quantidade]]</f>
        <v>29.9</v>
      </c>
      <c r="I76" s="95">
        <f>Tabela3[[#This Row],[Valor total]]-Tabela3[[#This Row],[Custo total]]</f>
        <v>20.100000000000001</v>
      </c>
      <c r="J76" s="54">
        <v>123502</v>
      </c>
      <c r="K76" s="54" t="s">
        <v>61</v>
      </c>
      <c r="L76" s="54" t="s">
        <v>8</v>
      </c>
      <c r="M76" s="54">
        <v>2</v>
      </c>
      <c r="N76" s="95">
        <v>0</v>
      </c>
      <c r="O76" s="78">
        <v>0</v>
      </c>
      <c r="P76" s="95">
        <v>1.8000000000000003</v>
      </c>
      <c r="Q76" s="77">
        <v>48.2</v>
      </c>
      <c r="R76" s="93">
        <v>48.2</v>
      </c>
    </row>
    <row r="77" spans="1:18" s="67" customFormat="1" x14ac:dyDescent="0.25">
      <c r="A77" s="74">
        <v>44225</v>
      </c>
      <c r="B77" s="23">
        <v>1006</v>
      </c>
      <c r="C77" s="23" t="s">
        <v>35</v>
      </c>
      <c r="D77" s="8">
        <v>1</v>
      </c>
      <c r="E77" s="30">
        <v>75</v>
      </c>
      <c r="F77" s="52">
        <f>Tabela3[[#This Row],[Valor Unitário]]*Tabela3[[#This Row],[Quantidade]]</f>
        <v>75</v>
      </c>
      <c r="G77" s="52">
        <f>VLOOKUP(Tabela3[[#This Row],[Código]],Cadastro_Produto!B:D,3,0)</f>
        <v>35.5</v>
      </c>
      <c r="H77" s="52">
        <f>Tabela3[[#This Row],[Custo unitário]]*Tabela3[[#This Row],[Quantidade]]</f>
        <v>35.5</v>
      </c>
      <c r="I77" s="95">
        <f>Tabela3[[#This Row],[Valor total]]-Tabela3[[#This Row],[Custo total]]</f>
        <v>39.5</v>
      </c>
      <c r="J77" s="54">
        <v>123502</v>
      </c>
      <c r="K77" s="54" t="s">
        <v>61</v>
      </c>
      <c r="L77" s="54" t="s">
        <v>8</v>
      </c>
      <c r="M77" s="54">
        <v>2</v>
      </c>
      <c r="N77" s="95">
        <v>0</v>
      </c>
      <c r="O77" s="78">
        <v>0</v>
      </c>
      <c r="P77" s="95">
        <v>2.7</v>
      </c>
      <c r="Q77" s="77">
        <v>72.3</v>
      </c>
      <c r="R77" s="93">
        <v>72.3</v>
      </c>
    </row>
    <row r="78" spans="1:18" s="67" customFormat="1" x14ac:dyDescent="0.25">
      <c r="A78" s="74">
        <v>44225</v>
      </c>
      <c r="B78" s="23">
        <v>1001</v>
      </c>
      <c r="C78" s="23" t="s">
        <v>9</v>
      </c>
      <c r="D78" s="8">
        <v>1</v>
      </c>
      <c r="E78" s="30">
        <v>50</v>
      </c>
      <c r="F78" s="52">
        <f>Tabela3[[#This Row],[Valor Unitário]]*Tabela3[[#This Row],[Quantidade]]</f>
        <v>50</v>
      </c>
      <c r="G78" s="52">
        <f>VLOOKUP(Tabela3[[#This Row],[Código]],Cadastro_Produto!B:D,3,0)</f>
        <v>24.9</v>
      </c>
      <c r="H78" s="52">
        <f>Tabela3[[#This Row],[Custo unitário]]*Tabela3[[#This Row],[Quantidade]]</f>
        <v>24.9</v>
      </c>
      <c r="I78" s="95">
        <f>Tabela3[[#This Row],[Valor total]]-Tabela3[[#This Row],[Custo total]]</f>
        <v>25.1</v>
      </c>
      <c r="J78" s="54">
        <v>123501</v>
      </c>
      <c r="K78" s="54" t="s">
        <v>61</v>
      </c>
      <c r="L78" s="54" t="s">
        <v>8</v>
      </c>
      <c r="M78" s="54">
        <v>2</v>
      </c>
      <c r="N78" s="95">
        <v>0</v>
      </c>
      <c r="O78" s="78">
        <v>0</v>
      </c>
      <c r="P78" s="95">
        <v>1.8000000000000003</v>
      </c>
      <c r="Q78" s="77">
        <v>48.2</v>
      </c>
      <c r="R78" s="93">
        <v>48.2</v>
      </c>
    </row>
    <row r="79" spans="1:18" s="67" customFormat="1" x14ac:dyDescent="0.25">
      <c r="A79" s="74">
        <v>44225</v>
      </c>
      <c r="B79" s="23">
        <v>1002</v>
      </c>
      <c r="C79" s="23" t="s">
        <v>31</v>
      </c>
      <c r="D79" s="8">
        <v>1</v>
      </c>
      <c r="E79" s="30">
        <v>50</v>
      </c>
      <c r="F79" s="52">
        <f>Tabela3[[#This Row],[Valor Unitário]]*Tabela3[[#This Row],[Quantidade]]</f>
        <v>50</v>
      </c>
      <c r="G79" s="52">
        <f>VLOOKUP(Tabela3[[#This Row],[Código]],Cadastro_Produto!B:D,3,0)</f>
        <v>18.5</v>
      </c>
      <c r="H79" s="52">
        <f>Tabela3[[#This Row],[Custo unitário]]*Tabela3[[#This Row],[Quantidade]]</f>
        <v>18.5</v>
      </c>
      <c r="I79" s="95">
        <f>Tabela3[[#This Row],[Valor total]]-Tabela3[[#This Row],[Custo total]]</f>
        <v>31.5</v>
      </c>
      <c r="J79" s="54">
        <v>123501</v>
      </c>
      <c r="K79" s="54" t="s">
        <v>61</v>
      </c>
      <c r="L79" s="54" t="s">
        <v>8</v>
      </c>
      <c r="M79" s="54">
        <v>2</v>
      </c>
      <c r="N79" s="95">
        <v>0</v>
      </c>
      <c r="O79" s="78">
        <v>0</v>
      </c>
      <c r="P79" s="95">
        <v>1.8000000000000003</v>
      </c>
      <c r="Q79" s="77">
        <v>48.2</v>
      </c>
      <c r="R79" s="93">
        <v>48.2</v>
      </c>
    </row>
    <row r="80" spans="1:18" s="67" customFormat="1" x14ac:dyDescent="0.25">
      <c r="A80" s="74">
        <v>44225</v>
      </c>
      <c r="B80" s="23">
        <v>1007</v>
      </c>
      <c r="C80" s="23" t="s">
        <v>37</v>
      </c>
      <c r="D80" s="8">
        <v>1</v>
      </c>
      <c r="E80" s="30">
        <v>50</v>
      </c>
      <c r="F80" s="52">
        <f>Tabela3[[#This Row],[Valor Unitário]]*Tabela3[[#This Row],[Quantidade]]</f>
        <v>50</v>
      </c>
      <c r="G80" s="52">
        <f>VLOOKUP(Tabela3[[#This Row],[Código]],Cadastro_Produto!B:D,3,0)</f>
        <v>29.9</v>
      </c>
      <c r="H80" s="52">
        <f>Tabela3[[#This Row],[Custo unitário]]*Tabela3[[#This Row],[Quantidade]]</f>
        <v>29.9</v>
      </c>
      <c r="I80" s="95">
        <f>Tabela3[[#This Row],[Valor total]]-Tabela3[[#This Row],[Custo total]]</f>
        <v>20.100000000000001</v>
      </c>
      <c r="J80" s="54">
        <v>123501</v>
      </c>
      <c r="K80" s="54" t="s">
        <v>61</v>
      </c>
      <c r="L80" s="54" t="s">
        <v>8</v>
      </c>
      <c r="M80" s="54">
        <v>2</v>
      </c>
      <c r="N80" s="95">
        <v>0</v>
      </c>
      <c r="O80" s="78">
        <v>0</v>
      </c>
      <c r="P80" s="95">
        <v>1.8000000000000003</v>
      </c>
      <c r="Q80" s="77">
        <v>48.2</v>
      </c>
      <c r="R80" s="93">
        <v>48.2</v>
      </c>
    </row>
    <row r="81" spans="1:18" s="67" customFormat="1" x14ac:dyDescent="0.25">
      <c r="A81" s="74">
        <v>44225</v>
      </c>
      <c r="B81" s="23">
        <v>1006</v>
      </c>
      <c r="C81" s="23" t="s">
        <v>35</v>
      </c>
      <c r="D81" s="8">
        <v>1</v>
      </c>
      <c r="E81" s="30">
        <v>50</v>
      </c>
      <c r="F81" s="52">
        <f>Tabela3[[#This Row],[Valor Unitário]]*Tabela3[[#This Row],[Quantidade]]</f>
        <v>50</v>
      </c>
      <c r="G81" s="52">
        <f>VLOOKUP(Tabela3[[#This Row],[Código]],Cadastro_Produto!B:D,3,0)</f>
        <v>35.5</v>
      </c>
      <c r="H81" s="52">
        <f>Tabela3[[#This Row],[Custo unitário]]*Tabela3[[#This Row],[Quantidade]]</f>
        <v>35.5</v>
      </c>
      <c r="I81" s="95">
        <f>Tabela3[[#This Row],[Valor total]]-Tabela3[[#This Row],[Custo total]]</f>
        <v>14.5</v>
      </c>
      <c r="J81" s="54">
        <v>123501</v>
      </c>
      <c r="K81" s="54" t="s">
        <v>61</v>
      </c>
      <c r="L81" s="54" t="s">
        <v>8</v>
      </c>
      <c r="M81" s="54">
        <v>2</v>
      </c>
      <c r="N81" s="95">
        <v>0</v>
      </c>
      <c r="O81" s="78">
        <v>0</v>
      </c>
      <c r="P81" s="95">
        <v>1.8000000000000003</v>
      </c>
      <c r="Q81" s="77">
        <v>48.2</v>
      </c>
      <c r="R81" s="93">
        <v>48.2</v>
      </c>
    </row>
    <row r="82" spans="1:18" s="67" customFormat="1" x14ac:dyDescent="0.25">
      <c r="A82" s="74">
        <v>44225</v>
      </c>
      <c r="B82" s="23">
        <v>1008</v>
      </c>
      <c r="C82" s="23" t="s">
        <v>38</v>
      </c>
      <c r="D82" s="8">
        <v>1</v>
      </c>
      <c r="E82" s="30">
        <v>50</v>
      </c>
      <c r="F82" s="52">
        <f>Tabela3[[#This Row],[Valor Unitário]]*Tabela3[[#This Row],[Quantidade]]</f>
        <v>50</v>
      </c>
      <c r="G82" s="52">
        <f>VLOOKUP(Tabela3[[#This Row],[Código]],Cadastro_Produto!B:D,3,0)</f>
        <v>32.9</v>
      </c>
      <c r="H82" s="52">
        <f>Tabela3[[#This Row],[Custo unitário]]*Tabela3[[#This Row],[Quantidade]]</f>
        <v>32.9</v>
      </c>
      <c r="I82" s="95">
        <f>Tabela3[[#This Row],[Valor total]]-Tabela3[[#This Row],[Custo total]]</f>
        <v>17.100000000000001</v>
      </c>
      <c r="J82" s="54">
        <v>123501</v>
      </c>
      <c r="K82" s="54" t="s">
        <v>61</v>
      </c>
      <c r="L82" s="54" t="s">
        <v>8</v>
      </c>
      <c r="M82" s="54"/>
      <c r="N82" s="95">
        <v>0</v>
      </c>
      <c r="O82" s="78">
        <v>0</v>
      </c>
      <c r="P82" s="95">
        <v>1.8000000000000003</v>
      </c>
      <c r="Q82" s="77">
        <v>48.2</v>
      </c>
      <c r="R82" s="93">
        <v>48.2</v>
      </c>
    </row>
    <row r="83" spans="1:18" s="67" customFormat="1" x14ac:dyDescent="0.25">
      <c r="A83" s="74">
        <v>44094</v>
      </c>
      <c r="B83" s="23">
        <v>1001</v>
      </c>
      <c r="C83" s="23" t="s">
        <v>9</v>
      </c>
      <c r="D83" s="8">
        <v>10</v>
      </c>
      <c r="E83" s="30">
        <v>65</v>
      </c>
      <c r="F83" s="52">
        <f>Tabela3[[#This Row],[Valor Unitário]]*Tabela3[[#This Row],[Quantidade]]</f>
        <v>650</v>
      </c>
      <c r="G83" s="52">
        <f>VLOOKUP(Tabela3[[#This Row],[Código]],Cadastro_Produto!B:D,3,0)</f>
        <v>24.9</v>
      </c>
      <c r="H83" s="52">
        <f>Tabela3[[#This Row],[Custo unitário]]*Tabela3[[#This Row],[Quantidade]]</f>
        <v>249</v>
      </c>
      <c r="I83" s="95">
        <f>Tabela3[[#This Row],[Valor total]]-Tabela3[[#This Row],[Custo total]]</f>
        <v>401</v>
      </c>
      <c r="J83" s="54">
        <v>123500</v>
      </c>
      <c r="K83" s="54" t="s">
        <v>61</v>
      </c>
      <c r="L83" s="54" t="s">
        <v>8</v>
      </c>
      <c r="M83" s="54">
        <v>6</v>
      </c>
      <c r="N83" s="95">
        <v>0</v>
      </c>
      <c r="O83" s="78">
        <v>0</v>
      </c>
      <c r="P83" s="95">
        <v>32.044999999999995</v>
      </c>
      <c r="Q83" s="77">
        <v>617.95500000000004</v>
      </c>
      <c r="R83" s="93">
        <v>617.95500000000004</v>
      </c>
    </row>
    <row r="84" spans="1:18" s="67" customFormat="1" x14ac:dyDescent="0.25">
      <c r="A84" s="74">
        <v>44094</v>
      </c>
      <c r="B84" s="23">
        <v>1002</v>
      </c>
      <c r="C84" s="23" t="s">
        <v>31</v>
      </c>
      <c r="D84" s="8">
        <v>10</v>
      </c>
      <c r="E84" s="30">
        <v>50</v>
      </c>
      <c r="F84" s="52">
        <f>Tabela3[[#This Row],[Valor Unitário]]*Tabela3[[#This Row],[Quantidade]]</f>
        <v>500</v>
      </c>
      <c r="G84" s="52">
        <f>VLOOKUP(Tabela3[[#This Row],[Código]],Cadastro_Produto!B:D,3,0)</f>
        <v>18.5</v>
      </c>
      <c r="H84" s="52">
        <f>Tabela3[[#This Row],[Custo unitário]]*Tabela3[[#This Row],[Quantidade]]</f>
        <v>185</v>
      </c>
      <c r="I84" s="95">
        <f>Tabela3[[#This Row],[Valor total]]-Tabela3[[#This Row],[Custo total]]</f>
        <v>315</v>
      </c>
      <c r="J84" s="54">
        <v>123500</v>
      </c>
      <c r="K84" s="54" t="s">
        <v>61</v>
      </c>
      <c r="L84" s="54" t="s">
        <v>8</v>
      </c>
      <c r="M84" s="54">
        <v>6</v>
      </c>
      <c r="N84" s="95">
        <v>0</v>
      </c>
      <c r="O84" s="78">
        <v>0</v>
      </c>
      <c r="P84" s="95">
        <v>0</v>
      </c>
      <c r="Q84" s="77">
        <v>500</v>
      </c>
      <c r="R84" s="93">
        <v>500</v>
      </c>
    </row>
    <row r="85" spans="1:18" s="67" customFormat="1" x14ac:dyDescent="0.25">
      <c r="A85" s="74">
        <v>44094</v>
      </c>
      <c r="B85" s="23" t="e">
        <v>#N/A</v>
      </c>
      <c r="C85" s="23"/>
      <c r="D85" s="8"/>
      <c r="E85" s="30"/>
      <c r="F85" s="52">
        <f>Tabela3[[#This Row],[Valor Unitário]]*Tabela3[[#This Row],[Quantidade]]</f>
        <v>0</v>
      </c>
      <c r="G85" s="52" t="e">
        <f>VLOOKUP(Tabela3[[#This Row],[Código]],Cadastro_Produto!B:D,3,0)</f>
        <v>#N/A</v>
      </c>
      <c r="H85" s="52" t="e">
        <f>Tabela3[[#This Row],[Custo unitário]]*Tabela3[[#This Row],[Quantidade]]</f>
        <v>#N/A</v>
      </c>
      <c r="I85" s="95" t="e">
        <f>Tabela3[[#This Row],[Valor total]]-Tabela3[[#This Row],[Custo total]]</f>
        <v>#N/A</v>
      </c>
      <c r="J85" s="54">
        <v>123500</v>
      </c>
      <c r="K85" s="54" t="s">
        <v>61</v>
      </c>
      <c r="L85" s="54" t="s">
        <v>8</v>
      </c>
      <c r="M85" s="54">
        <v>6</v>
      </c>
      <c r="N85" s="95">
        <v>0</v>
      </c>
      <c r="O85" s="78">
        <v>0</v>
      </c>
      <c r="P85" s="95">
        <v>0</v>
      </c>
      <c r="Q85" s="77">
        <v>0</v>
      </c>
      <c r="R85" s="93">
        <v>0</v>
      </c>
    </row>
    <row r="86" spans="1:18" s="67" customFormat="1" x14ac:dyDescent="0.25">
      <c r="A86" s="74">
        <v>44094</v>
      </c>
      <c r="B86" s="23" t="e">
        <v>#N/A</v>
      </c>
      <c r="C86" s="23"/>
      <c r="D86" s="8"/>
      <c r="E86" s="30"/>
      <c r="F86" s="52">
        <f>Tabela3[[#This Row],[Valor Unitário]]*Tabela3[[#This Row],[Quantidade]]</f>
        <v>0</v>
      </c>
      <c r="G86" s="52" t="e">
        <f>VLOOKUP(Tabela3[[#This Row],[Código]],Cadastro_Produto!B:D,3,0)</f>
        <v>#N/A</v>
      </c>
      <c r="H86" s="52" t="e">
        <f>Tabela3[[#This Row],[Custo unitário]]*Tabela3[[#This Row],[Quantidade]]</f>
        <v>#N/A</v>
      </c>
      <c r="I86" s="95" t="e">
        <f>Tabela3[[#This Row],[Valor total]]-Tabela3[[#This Row],[Custo total]]</f>
        <v>#N/A</v>
      </c>
      <c r="J86" s="54">
        <v>123500</v>
      </c>
      <c r="K86" s="54" t="s">
        <v>61</v>
      </c>
      <c r="L86" s="54" t="s">
        <v>8</v>
      </c>
      <c r="M86" s="54">
        <v>6</v>
      </c>
      <c r="N86" s="95">
        <v>0</v>
      </c>
      <c r="O86" s="78">
        <v>0</v>
      </c>
      <c r="P86" s="95">
        <v>0</v>
      </c>
      <c r="Q86" s="77">
        <v>0</v>
      </c>
      <c r="R86" s="93">
        <v>0</v>
      </c>
    </row>
    <row r="87" spans="1:18" s="67" customFormat="1" x14ac:dyDescent="0.25">
      <c r="A87" s="74">
        <v>44094</v>
      </c>
      <c r="B87" s="23" t="e">
        <v>#N/A</v>
      </c>
      <c r="C87" s="23"/>
      <c r="D87" s="8"/>
      <c r="E87" s="30"/>
      <c r="F87" s="52">
        <f>Tabela3[[#This Row],[Valor Unitário]]*Tabela3[[#This Row],[Quantidade]]</f>
        <v>0</v>
      </c>
      <c r="G87" s="52" t="e">
        <f>VLOOKUP(Tabela3[[#This Row],[Código]],Cadastro_Produto!B:D,3,0)</f>
        <v>#N/A</v>
      </c>
      <c r="H87" s="52" t="e">
        <f>Tabela3[[#This Row],[Custo unitário]]*Tabela3[[#This Row],[Quantidade]]</f>
        <v>#N/A</v>
      </c>
      <c r="I87" s="95" t="e">
        <f>Tabela3[[#This Row],[Valor total]]-Tabela3[[#This Row],[Custo total]]</f>
        <v>#N/A</v>
      </c>
      <c r="J87" s="54">
        <v>123500</v>
      </c>
      <c r="K87" s="54" t="s">
        <v>61</v>
      </c>
      <c r="L87" s="54" t="s">
        <v>8</v>
      </c>
      <c r="M87" s="54"/>
      <c r="N87" s="95">
        <v>0</v>
      </c>
      <c r="O87" s="78">
        <v>0</v>
      </c>
      <c r="P87" s="95">
        <v>0</v>
      </c>
      <c r="Q87" s="77">
        <v>0</v>
      </c>
      <c r="R87" s="93">
        <v>0</v>
      </c>
    </row>
    <row r="88" spans="1:18" s="67" customFormat="1" x14ac:dyDescent="0.25">
      <c r="A88" s="74">
        <v>44082</v>
      </c>
      <c r="B88" s="23">
        <v>1010</v>
      </c>
      <c r="C88" s="23" t="s">
        <v>41</v>
      </c>
      <c r="D88" s="8">
        <v>10</v>
      </c>
      <c r="E88" s="30">
        <v>50</v>
      </c>
      <c r="F88" s="52">
        <f>Tabela3[[#This Row],[Valor Unitário]]*Tabela3[[#This Row],[Quantidade]]</f>
        <v>500</v>
      </c>
      <c r="G88" s="52">
        <f>VLOOKUP(Tabela3[[#This Row],[Código]],Cadastro_Produto!B:D,3,0)</f>
        <v>18.899999999999999</v>
      </c>
      <c r="H88" s="52">
        <f>Tabela3[[#This Row],[Custo unitário]]*Tabela3[[#This Row],[Quantidade]]</f>
        <v>189</v>
      </c>
      <c r="I88" s="95">
        <f>Tabela3[[#This Row],[Valor total]]-Tabela3[[#This Row],[Custo total]]</f>
        <v>311</v>
      </c>
      <c r="J88" s="54">
        <v>123499</v>
      </c>
      <c r="K88" s="54" t="s">
        <v>7</v>
      </c>
      <c r="L88" s="54" t="s">
        <v>75</v>
      </c>
      <c r="M88" s="54"/>
      <c r="N88" s="95">
        <v>0</v>
      </c>
      <c r="O88" s="78">
        <v>0</v>
      </c>
      <c r="P88" s="95">
        <v>0</v>
      </c>
      <c r="Q88" s="77">
        <v>0</v>
      </c>
      <c r="R88" s="93">
        <v>500</v>
      </c>
    </row>
    <row r="89" spans="1:18" s="67" customFormat="1" x14ac:dyDescent="0.25">
      <c r="A89" s="74">
        <v>44082</v>
      </c>
      <c r="B89" s="23">
        <v>1009</v>
      </c>
      <c r="C89" s="23" t="s">
        <v>40</v>
      </c>
      <c r="D89" s="8">
        <v>10</v>
      </c>
      <c r="E89" s="30">
        <v>85</v>
      </c>
      <c r="F89" s="52">
        <f>Tabela3[[#This Row],[Valor Unitário]]*Tabela3[[#This Row],[Quantidade]]</f>
        <v>850</v>
      </c>
      <c r="G89" s="52">
        <f>VLOOKUP(Tabela3[[#This Row],[Código]],Cadastro_Produto!B:D,3,0)</f>
        <v>38.9</v>
      </c>
      <c r="H89" s="52">
        <f>Tabela3[[#This Row],[Custo unitário]]*Tabela3[[#This Row],[Quantidade]]</f>
        <v>389</v>
      </c>
      <c r="I89" s="95">
        <f>Tabela3[[#This Row],[Valor total]]-Tabela3[[#This Row],[Custo total]]</f>
        <v>461</v>
      </c>
      <c r="J89" s="54">
        <v>123499</v>
      </c>
      <c r="K89" s="54" t="s">
        <v>7</v>
      </c>
      <c r="L89" s="54" t="s">
        <v>75</v>
      </c>
      <c r="M89" s="54"/>
      <c r="N89" s="95">
        <v>0</v>
      </c>
      <c r="O89" s="78">
        <v>0</v>
      </c>
      <c r="P89" s="95">
        <v>0</v>
      </c>
      <c r="Q89" s="77">
        <v>0</v>
      </c>
      <c r="R89" s="93">
        <v>850</v>
      </c>
    </row>
    <row r="90" spans="1:18" s="67" customFormat="1" x14ac:dyDescent="0.25">
      <c r="A90" s="74">
        <v>44082</v>
      </c>
      <c r="B90" s="23">
        <v>1008</v>
      </c>
      <c r="C90" s="23" t="s">
        <v>38</v>
      </c>
      <c r="D90" s="8">
        <v>6</v>
      </c>
      <c r="E90" s="30">
        <v>75</v>
      </c>
      <c r="F90" s="52">
        <f>Tabela3[[#This Row],[Valor Unitário]]*Tabela3[[#This Row],[Quantidade]]</f>
        <v>450</v>
      </c>
      <c r="G90" s="52">
        <f>VLOOKUP(Tabela3[[#This Row],[Código]],Cadastro_Produto!B:D,3,0)</f>
        <v>32.9</v>
      </c>
      <c r="H90" s="52">
        <f>Tabela3[[#This Row],[Custo unitário]]*Tabela3[[#This Row],[Quantidade]]</f>
        <v>197.39999999999998</v>
      </c>
      <c r="I90" s="95">
        <f>Tabela3[[#This Row],[Valor total]]-Tabela3[[#This Row],[Custo total]]</f>
        <v>252.60000000000002</v>
      </c>
      <c r="J90" s="54">
        <v>123499</v>
      </c>
      <c r="K90" s="54" t="s">
        <v>7</v>
      </c>
      <c r="L90" s="54" t="s">
        <v>75</v>
      </c>
      <c r="M90" s="54"/>
      <c r="N90" s="95">
        <v>0</v>
      </c>
      <c r="O90" s="78">
        <v>0</v>
      </c>
      <c r="P90" s="95">
        <v>0</v>
      </c>
      <c r="Q90" s="77">
        <v>0</v>
      </c>
      <c r="R90" s="93">
        <v>450</v>
      </c>
    </row>
    <row r="91" spans="1:18" s="67" customFormat="1" x14ac:dyDescent="0.25">
      <c r="A91" s="74">
        <v>44082</v>
      </c>
      <c r="B91" s="23">
        <v>1006</v>
      </c>
      <c r="C91" s="23" t="s">
        <v>35</v>
      </c>
      <c r="D91" s="8">
        <v>5</v>
      </c>
      <c r="E91" s="30">
        <v>50</v>
      </c>
      <c r="F91" s="52">
        <f>Tabela3[[#This Row],[Valor Unitário]]*Tabela3[[#This Row],[Quantidade]]</f>
        <v>250</v>
      </c>
      <c r="G91" s="52">
        <f>VLOOKUP(Tabela3[[#This Row],[Código]],Cadastro_Produto!B:D,3,0)</f>
        <v>35.5</v>
      </c>
      <c r="H91" s="52">
        <f>Tabela3[[#This Row],[Custo unitário]]*Tabela3[[#This Row],[Quantidade]]</f>
        <v>177.5</v>
      </c>
      <c r="I91" s="95">
        <f>Tabela3[[#This Row],[Valor total]]-Tabela3[[#This Row],[Custo total]]</f>
        <v>72.5</v>
      </c>
      <c r="J91" s="54">
        <v>123499</v>
      </c>
      <c r="K91" s="54" t="s">
        <v>7</v>
      </c>
      <c r="L91" s="54" t="s">
        <v>75</v>
      </c>
      <c r="M91" s="54"/>
      <c r="N91" s="95">
        <v>0</v>
      </c>
      <c r="O91" s="78">
        <v>0</v>
      </c>
      <c r="P91" s="95">
        <v>0</v>
      </c>
      <c r="Q91" s="77">
        <v>0</v>
      </c>
      <c r="R91" s="93">
        <v>250</v>
      </c>
    </row>
    <row r="92" spans="1:18" s="67" customFormat="1" x14ac:dyDescent="0.25">
      <c r="A92" s="74">
        <v>44082</v>
      </c>
      <c r="B92" s="23">
        <v>1004</v>
      </c>
      <c r="C92" s="23" t="s">
        <v>6</v>
      </c>
      <c r="D92" s="8">
        <v>1</v>
      </c>
      <c r="E92" s="30">
        <v>180</v>
      </c>
      <c r="F92" s="52">
        <f>Tabela3[[#This Row],[Valor Unitário]]*Tabela3[[#This Row],[Quantidade]]</f>
        <v>180</v>
      </c>
      <c r="G92" s="52">
        <f>VLOOKUP(Tabela3[[#This Row],[Código]],Cadastro_Produto!B:D,3,0)</f>
        <v>99.5</v>
      </c>
      <c r="H92" s="52">
        <f>Tabela3[[#This Row],[Custo unitário]]*Tabela3[[#This Row],[Quantidade]]</f>
        <v>99.5</v>
      </c>
      <c r="I92" s="95">
        <f>Tabela3[[#This Row],[Valor total]]-Tabela3[[#This Row],[Custo total]]</f>
        <v>80.5</v>
      </c>
      <c r="J92" s="54">
        <v>123499</v>
      </c>
      <c r="K92" s="54" t="s">
        <v>7</v>
      </c>
      <c r="L92" s="54" t="s">
        <v>75</v>
      </c>
      <c r="M92" s="54"/>
      <c r="N92" s="95">
        <v>0</v>
      </c>
      <c r="O92" s="78">
        <v>0</v>
      </c>
      <c r="P92" s="95">
        <v>0</v>
      </c>
      <c r="Q92" s="77">
        <v>0</v>
      </c>
      <c r="R92" s="93">
        <v>180</v>
      </c>
    </row>
    <row r="93" spans="1:18" s="67" customFormat="1" x14ac:dyDescent="0.25">
      <c r="A93" s="74">
        <v>44075</v>
      </c>
      <c r="B93" s="23">
        <v>1001</v>
      </c>
      <c r="C93" s="23" t="s">
        <v>9</v>
      </c>
      <c r="D93" s="8">
        <v>5</v>
      </c>
      <c r="E93" s="30">
        <v>55</v>
      </c>
      <c r="F93" s="52">
        <f>Tabela3[[#This Row],[Valor Unitário]]*Tabela3[[#This Row],[Quantidade]]</f>
        <v>275</v>
      </c>
      <c r="G93" s="52">
        <f>VLOOKUP(Tabela3[[#This Row],[Código]],Cadastro_Produto!B:D,3,0)</f>
        <v>24.9</v>
      </c>
      <c r="H93" s="52">
        <f>Tabela3[[#This Row],[Custo unitário]]*Tabela3[[#This Row],[Quantidade]]</f>
        <v>124.5</v>
      </c>
      <c r="I93" s="95">
        <f>Tabela3[[#This Row],[Valor total]]-Tabela3[[#This Row],[Custo total]]</f>
        <v>150.5</v>
      </c>
      <c r="J93" s="54">
        <v>123498</v>
      </c>
      <c r="K93" s="54" t="s">
        <v>63</v>
      </c>
      <c r="L93" s="54" t="s">
        <v>75</v>
      </c>
      <c r="M93" s="54"/>
      <c r="N93" s="95">
        <v>0</v>
      </c>
      <c r="O93" s="78">
        <v>0</v>
      </c>
      <c r="P93" s="95">
        <v>0</v>
      </c>
      <c r="Q93" s="77">
        <v>0</v>
      </c>
      <c r="R93" s="93">
        <v>275</v>
      </c>
    </row>
    <row r="94" spans="1:18" s="67" customFormat="1" x14ac:dyDescent="0.25">
      <c r="A94" s="74">
        <v>44075</v>
      </c>
      <c r="B94" s="23">
        <v>1003</v>
      </c>
      <c r="C94" s="23" t="s">
        <v>32</v>
      </c>
      <c r="D94" s="8">
        <v>5</v>
      </c>
      <c r="E94" s="30">
        <v>180</v>
      </c>
      <c r="F94" s="52">
        <f>Tabela3[[#This Row],[Valor Unitário]]*Tabela3[[#This Row],[Quantidade]]</f>
        <v>900</v>
      </c>
      <c r="G94" s="52">
        <f>VLOOKUP(Tabela3[[#This Row],[Código]],Cadastro_Produto!B:D,3,0)</f>
        <v>85.9</v>
      </c>
      <c r="H94" s="52">
        <f>Tabela3[[#This Row],[Custo unitário]]*Tabela3[[#This Row],[Quantidade]]</f>
        <v>429.5</v>
      </c>
      <c r="I94" s="95">
        <f>Tabela3[[#This Row],[Valor total]]-Tabela3[[#This Row],[Custo total]]</f>
        <v>470.5</v>
      </c>
      <c r="J94" s="54">
        <v>123498</v>
      </c>
      <c r="K94" s="54" t="s">
        <v>63</v>
      </c>
      <c r="L94" s="54" t="s">
        <v>75</v>
      </c>
      <c r="M94" s="54"/>
      <c r="N94" s="95">
        <v>0</v>
      </c>
      <c r="O94" s="78">
        <v>0</v>
      </c>
      <c r="P94" s="95">
        <v>0</v>
      </c>
      <c r="Q94" s="77">
        <v>0</v>
      </c>
      <c r="R94" s="93">
        <v>900</v>
      </c>
    </row>
    <row r="95" spans="1:18" s="67" customFormat="1" x14ac:dyDescent="0.25">
      <c r="A95" s="74">
        <v>44075</v>
      </c>
      <c r="B95" s="23">
        <v>1007</v>
      </c>
      <c r="C95" s="23" t="s">
        <v>37</v>
      </c>
      <c r="D95" s="8">
        <v>8</v>
      </c>
      <c r="E95" s="30">
        <v>65</v>
      </c>
      <c r="F95" s="52">
        <f>Tabela3[[#This Row],[Valor Unitário]]*Tabela3[[#This Row],[Quantidade]]</f>
        <v>520</v>
      </c>
      <c r="G95" s="52">
        <f>VLOOKUP(Tabela3[[#This Row],[Código]],Cadastro_Produto!B:D,3,0)</f>
        <v>29.9</v>
      </c>
      <c r="H95" s="52">
        <f>Tabela3[[#This Row],[Custo unitário]]*Tabela3[[#This Row],[Quantidade]]</f>
        <v>239.2</v>
      </c>
      <c r="I95" s="95">
        <f>Tabela3[[#This Row],[Valor total]]-Tabela3[[#This Row],[Custo total]]</f>
        <v>280.8</v>
      </c>
      <c r="J95" s="54">
        <v>123498</v>
      </c>
      <c r="K95" s="54" t="s">
        <v>63</v>
      </c>
      <c r="L95" s="54" t="s">
        <v>75</v>
      </c>
      <c r="M95" s="54"/>
      <c r="N95" s="95">
        <v>0</v>
      </c>
      <c r="O95" s="78">
        <v>0</v>
      </c>
      <c r="P95" s="95">
        <v>0</v>
      </c>
      <c r="Q95" s="77">
        <v>0</v>
      </c>
      <c r="R95" s="93">
        <v>520</v>
      </c>
    </row>
    <row r="96" spans="1:18" s="67" customFormat="1" x14ac:dyDescent="0.25">
      <c r="A96" s="74">
        <v>44075</v>
      </c>
      <c r="B96" s="23">
        <v>1002</v>
      </c>
      <c r="C96" s="23" t="s">
        <v>31</v>
      </c>
      <c r="D96" s="8">
        <v>5</v>
      </c>
      <c r="E96" s="30">
        <v>58</v>
      </c>
      <c r="F96" s="52">
        <f>Tabela3[[#This Row],[Valor Unitário]]*Tabela3[[#This Row],[Quantidade]]</f>
        <v>290</v>
      </c>
      <c r="G96" s="52">
        <f>VLOOKUP(Tabela3[[#This Row],[Código]],Cadastro_Produto!B:D,3,0)</f>
        <v>18.5</v>
      </c>
      <c r="H96" s="52">
        <f>Tabela3[[#This Row],[Custo unitário]]*Tabela3[[#This Row],[Quantidade]]</f>
        <v>92.5</v>
      </c>
      <c r="I96" s="95">
        <f>Tabela3[[#This Row],[Valor total]]-Tabela3[[#This Row],[Custo total]]</f>
        <v>197.5</v>
      </c>
      <c r="J96" s="54">
        <v>123498</v>
      </c>
      <c r="K96" s="54" t="s">
        <v>63</v>
      </c>
      <c r="L96" s="54" t="s">
        <v>75</v>
      </c>
      <c r="M96" s="54"/>
      <c r="N96" s="95">
        <v>0</v>
      </c>
      <c r="O96" s="78">
        <v>0</v>
      </c>
      <c r="P96" s="95">
        <v>0</v>
      </c>
      <c r="Q96" s="77">
        <v>0</v>
      </c>
      <c r="R96" s="93">
        <v>290</v>
      </c>
    </row>
    <row r="97" spans="1:18" s="67" customFormat="1" x14ac:dyDescent="0.25">
      <c r="A97" s="74">
        <v>44075</v>
      </c>
      <c r="B97" s="23">
        <v>1010</v>
      </c>
      <c r="C97" s="23" t="s">
        <v>41</v>
      </c>
      <c r="D97" s="8">
        <v>10</v>
      </c>
      <c r="E97" s="30">
        <v>59</v>
      </c>
      <c r="F97" s="52">
        <f>Tabela3[[#This Row],[Valor Unitário]]*Tabela3[[#This Row],[Quantidade]]</f>
        <v>590</v>
      </c>
      <c r="G97" s="52">
        <f>VLOOKUP(Tabela3[[#This Row],[Código]],Cadastro_Produto!B:D,3,0)</f>
        <v>18.899999999999999</v>
      </c>
      <c r="H97" s="52">
        <f>Tabela3[[#This Row],[Custo unitário]]*Tabela3[[#This Row],[Quantidade]]</f>
        <v>189</v>
      </c>
      <c r="I97" s="95">
        <f>Tabela3[[#This Row],[Valor total]]-Tabela3[[#This Row],[Custo total]]</f>
        <v>401</v>
      </c>
      <c r="J97" s="54">
        <v>123498</v>
      </c>
      <c r="K97" s="54" t="s">
        <v>63</v>
      </c>
      <c r="L97" s="54" t="s">
        <v>75</v>
      </c>
      <c r="M97" s="54"/>
      <c r="N97" s="95">
        <v>0</v>
      </c>
      <c r="O97" s="78">
        <v>0</v>
      </c>
      <c r="P97" s="95">
        <v>0</v>
      </c>
      <c r="Q97" s="77">
        <v>0</v>
      </c>
      <c r="R97" s="93">
        <v>590</v>
      </c>
    </row>
    <row r="98" spans="1:18" s="67" customFormat="1" x14ac:dyDescent="0.25">
      <c r="A98" s="74">
        <v>44112</v>
      </c>
      <c r="B98" s="23">
        <v>1001</v>
      </c>
      <c r="C98" s="23" t="s">
        <v>9</v>
      </c>
      <c r="D98" s="8">
        <v>5</v>
      </c>
      <c r="E98" s="30">
        <v>50</v>
      </c>
      <c r="F98" s="52">
        <f>Tabela3[[#This Row],[Valor Unitário]]*Tabela3[[#This Row],[Quantidade]]</f>
        <v>250</v>
      </c>
      <c r="G98" s="52">
        <f>VLOOKUP(Tabela3[[#This Row],[Código]],Cadastro_Produto!B:D,3,0)</f>
        <v>24.9</v>
      </c>
      <c r="H98" s="52">
        <f>Tabela3[[#This Row],[Custo unitário]]*Tabela3[[#This Row],[Quantidade]]</f>
        <v>124.5</v>
      </c>
      <c r="I98" s="95">
        <f>Tabela3[[#This Row],[Valor total]]-Tabela3[[#This Row],[Custo total]]</f>
        <v>125.5</v>
      </c>
      <c r="J98" s="54">
        <v>123497</v>
      </c>
      <c r="K98" s="54" t="s">
        <v>63</v>
      </c>
      <c r="L98" s="54" t="s">
        <v>8</v>
      </c>
      <c r="M98" s="54"/>
      <c r="N98" s="95">
        <v>0</v>
      </c>
      <c r="O98" s="78">
        <v>0</v>
      </c>
      <c r="P98" s="95">
        <v>0</v>
      </c>
      <c r="Q98" s="77">
        <v>0</v>
      </c>
      <c r="R98" s="93">
        <v>250</v>
      </c>
    </row>
    <row r="99" spans="1:18" s="67" customFormat="1" x14ac:dyDescent="0.25">
      <c r="A99" s="74">
        <v>44112</v>
      </c>
      <c r="B99" s="23">
        <v>1006</v>
      </c>
      <c r="C99" s="23" t="s">
        <v>35</v>
      </c>
      <c r="D99" s="8">
        <v>4</v>
      </c>
      <c r="E99" s="30">
        <v>50</v>
      </c>
      <c r="F99" s="52">
        <f>Tabela3[[#This Row],[Valor Unitário]]*Tabela3[[#This Row],[Quantidade]]</f>
        <v>200</v>
      </c>
      <c r="G99" s="52">
        <f>VLOOKUP(Tabela3[[#This Row],[Código]],Cadastro_Produto!B:D,3,0)</f>
        <v>35.5</v>
      </c>
      <c r="H99" s="52">
        <f>Tabela3[[#This Row],[Custo unitário]]*Tabela3[[#This Row],[Quantidade]]</f>
        <v>142</v>
      </c>
      <c r="I99" s="95">
        <f>Tabela3[[#This Row],[Valor total]]-Tabela3[[#This Row],[Custo total]]</f>
        <v>58</v>
      </c>
      <c r="J99" s="54">
        <v>123497</v>
      </c>
      <c r="K99" s="54" t="s">
        <v>63</v>
      </c>
      <c r="L99" s="54" t="s">
        <v>8</v>
      </c>
      <c r="M99" s="54"/>
      <c r="N99" s="95">
        <v>0</v>
      </c>
      <c r="O99" s="78">
        <v>0</v>
      </c>
      <c r="P99" s="95">
        <v>0</v>
      </c>
      <c r="Q99" s="77">
        <v>0</v>
      </c>
      <c r="R99" s="93">
        <v>200</v>
      </c>
    </row>
    <row r="100" spans="1:18" s="67" customFormat="1" x14ac:dyDescent="0.25">
      <c r="A100" s="74">
        <v>44112</v>
      </c>
      <c r="B100" s="23">
        <v>1007</v>
      </c>
      <c r="C100" s="23" t="s">
        <v>37</v>
      </c>
      <c r="D100" s="8">
        <v>2</v>
      </c>
      <c r="E100" s="30">
        <v>45</v>
      </c>
      <c r="F100" s="52">
        <f>Tabela3[[#This Row],[Valor Unitário]]*Tabela3[[#This Row],[Quantidade]]</f>
        <v>90</v>
      </c>
      <c r="G100" s="52">
        <f>VLOOKUP(Tabela3[[#This Row],[Código]],Cadastro_Produto!B:D,3,0)</f>
        <v>29.9</v>
      </c>
      <c r="H100" s="52">
        <f>Tabela3[[#This Row],[Custo unitário]]*Tabela3[[#This Row],[Quantidade]]</f>
        <v>59.8</v>
      </c>
      <c r="I100" s="95">
        <f>Tabela3[[#This Row],[Valor total]]-Tabela3[[#This Row],[Custo total]]</f>
        <v>30.200000000000003</v>
      </c>
      <c r="J100" s="54">
        <v>123497</v>
      </c>
      <c r="K100" s="54" t="s">
        <v>63</v>
      </c>
      <c r="L100" s="54" t="s">
        <v>8</v>
      </c>
      <c r="M100" s="54"/>
      <c r="N100" s="95">
        <v>0</v>
      </c>
      <c r="O100" s="78">
        <v>0</v>
      </c>
      <c r="P100" s="95">
        <v>0</v>
      </c>
      <c r="Q100" s="77">
        <v>0</v>
      </c>
      <c r="R100" s="93">
        <v>90</v>
      </c>
    </row>
    <row r="101" spans="1:18" s="67" customFormat="1" x14ac:dyDescent="0.25">
      <c r="A101" s="74">
        <v>44112</v>
      </c>
      <c r="B101" s="23">
        <v>1005</v>
      </c>
      <c r="C101" s="23" t="s">
        <v>34</v>
      </c>
      <c r="D101" s="8">
        <v>2</v>
      </c>
      <c r="E101" s="30">
        <v>181</v>
      </c>
      <c r="F101" s="52">
        <f>Tabela3[[#This Row],[Valor Unitário]]*Tabela3[[#This Row],[Quantidade]]</f>
        <v>362</v>
      </c>
      <c r="G101" s="52">
        <f>VLOOKUP(Tabela3[[#This Row],[Código]],Cadastro_Produto!B:D,3,0)</f>
        <v>91.5</v>
      </c>
      <c r="H101" s="52">
        <f>Tabela3[[#This Row],[Custo unitário]]*Tabela3[[#This Row],[Quantidade]]</f>
        <v>183</v>
      </c>
      <c r="I101" s="95">
        <f>Tabela3[[#This Row],[Valor total]]-Tabela3[[#This Row],[Custo total]]</f>
        <v>179</v>
      </c>
      <c r="J101" s="54">
        <v>123497</v>
      </c>
      <c r="K101" s="54" t="s">
        <v>63</v>
      </c>
      <c r="L101" s="54" t="s">
        <v>8</v>
      </c>
      <c r="M101" s="54"/>
      <c r="N101" s="95">
        <v>0</v>
      </c>
      <c r="O101" s="78">
        <v>0</v>
      </c>
      <c r="P101" s="95">
        <v>0</v>
      </c>
      <c r="Q101" s="77">
        <v>0</v>
      </c>
      <c r="R101" s="93">
        <v>362</v>
      </c>
    </row>
    <row r="102" spans="1:18" s="67" customFormat="1" x14ac:dyDescent="0.25">
      <c r="A102" s="74">
        <v>44112</v>
      </c>
      <c r="B102" s="23">
        <v>1004</v>
      </c>
      <c r="C102" s="23" t="s">
        <v>6</v>
      </c>
      <c r="D102" s="8">
        <v>1</v>
      </c>
      <c r="E102" s="30">
        <v>199.5</v>
      </c>
      <c r="F102" s="52">
        <f>Tabela3[[#This Row],[Valor Unitário]]*Tabela3[[#This Row],[Quantidade]]</f>
        <v>199.5</v>
      </c>
      <c r="G102" s="52">
        <f>VLOOKUP(Tabela3[[#This Row],[Código]],Cadastro_Produto!B:D,3,0)</f>
        <v>99.5</v>
      </c>
      <c r="H102" s="52">
        <f>Tabela3[[#This Row],[Custo unitário]]*Tabela3[[#This Row],[Quantidade]]</f>
        <v>99.5</v>
      </c>
      <c r="I102" s="95">
        <f>Tabela3[[#This Row],[Valor total]]-Tabela3[[#This Row],[Custo total]]</f>
        <v>100</v>
      </c>
      <c r="J102" s="54">
        <v>123497</v>
      </c>
      <c r="K102" s="54" t="s">
        <v>63</v>
      </c>
      <c r="L102" s="54" t="s">
        <v>8</v>
      </c>
      <c r="M102" s="54"/>
      <c r="N102" s="95">
        <v>0</v>
      </c>
      <c r="O102" s="78">
        <v>0</v>
      </c>
      <c r="P102" s="95">
        <v>0</v>
      </c>
      <c r="Q102" s="77">
        <v>0</v>
      </c>
      <c r="R102" s="93">
        <v>199.5</v>
      </c>
    </row>
    <row r="103" spans="1:18" s="67" customFormat="1" x14ac:dyDescent="0.25">
      <c r="A103" s="74">
        <v>44105</v>
      </c>
      <c r="B103" s="23">
        <v>1005</v>
      </c>
      <c r="C103" s="23" t="s">
        <v>34</v>
      </c>
      <c r="D103" s="8">
        <v>2</v>
      </c>
      <c r="E103" s="30">
        <v>181.8</v>
      </c>
      <c r="F103" s="52">
        <f>Tabela3[[#This Row],[Valor Unitário]]*Tabela3[[#This Row],[Quantidade]]</f>
        <v>363.6</v>
      </c>
      <c r="G103" s="52">
        <f>VLOOKUP(Tabela3[[#This Row],[Código]],Cadastro_Produto!B:D,3,0)</f>
        <v>91.5</v>
      </c>
      <c r="H103" s="52">
        <f>Tabela3[[#This Row],[Custo unitário]]*Tabela3[[#This Row],[Quantidade]]</f>
        <v>183</v>
      </c>
      <c r="I103" s="95">
        <f>Tabela3[[#This Row],[Valor total]]-Tabela3[[#This Row],[Custo total]]</f>
        <v>180.60000000000002</v>
      </c>
      <c r="J103" s="54">
        <v>123496</v>
      </c>
      <c r="K103" s="54" t="s">
        <v>62</v>
      </c>
      <c r="L103" s="54" t="s">
        <v>75</v>
      </c>
      <c r="M103" s="54"/>
      <c r="N103" s="95">
        <v>7.235640000000001</v>
      </c>
      <c r="O103" s="78">
        <v>356.36436000000003</v>
      </c>
      <c r="P103" s="95">
        <v>0</v>
      </c>
      <c r="Q103" s="77">
        <v>0</v>
      </c>
      <c r="R103" s="93">
        <v>356.36436000000003</v>
      </c>
    </row>
    <row r="104" spans="1:18" s="67" customFormat="1" x14ac:dyDescent="0.25">
      <c r="A104" s="74">
        <v>44105</v>
      </c>
      <c r="B104" s="23">
        <v>1006</v>
      </c>
      <c r="C104" s="23" t="s">
        <v>35</v>
      </c>
      <c r="D104" s="8">
        <v>5</v>
      </c>
      <c r="E104" s="30">
        <v>65.599999999999994</v>
      </c>
      <c r="F104" s="52">
        <f>Tabela3[[#This Row],[Valor Unitário]]*Tabela3[[#This Row],[Quantidade]]</f>
        <v>328</v>
      </c>
      <c r="G104" s="52">
        <f>VLOOKUP(Tabela3[[#This Row],[Código]],Cadastro_Produto!B:D,3,0)</f>
        <v>35.5</v>
      </c>
      <c r="H104" s="52">
        <f>Tabela3[[#This Row],[Custo unitário]]*Tabela3[[#This Row],[Quantidade]]</f>
        <v>177.5</v>
      </c>
      <c r="I104" s="95">
        <f>Tabela3[[#This Row],[Valor total]]-Tabela3[[#This Row],[Custo total]]</f>
        <v>150.5</v>
      </c>
      <c r="J104" s="54">
        <v>123496</v>
      </c>
      <c r="K104" s="54" t="s">
        <v>62</v>
      </c>
      <c r="L104" s="54" t="s">
        <v>75</v>
      </c>
      <c r="M104" s="54"/>
      <c r="N104" s="95">
        <v>6.5272000000000006</v>
      </c>
      <c r="O104" s="78">
        <v>321.47280000000001</v>
      </c>
      <c r="P104" s="95">
        <v>0</v>
      </c>
      <c r="Q104" s="77">
        <v>0</v>
      </c>
      <c r="R104" s="93">
        <v>321.47280000000001</v>
      </c>
    </row>
    <row r="105" spans="1:18" s="67" customFormat="1" x14ac:dyDescent="0.25">
      <c r="A105" s="74">
        <v>44105</v>
      </c>
      <c r="B105" s="23">
        <v>1007</v>
      </c>
      <c r="C105" s="23" t="s">
        <v>37</v>
      </c>
      <c r="D105" s="8">
        <v>4</v>
      </c>
      <c r="E105" s="30">
        <v>50</v>
      </c>
      <c r="F105" s="52">
        <f>Tabela3[[#This Row],[Valor Unitário]]*Tabela3[[#This Row],[Quantidade]]</f>
        <v>200</v>
      </c>
      <c r="G105" s="52">
        <f>VLOOKUP(Tabela3[[#This Row],[Código]],Cadastro_Produto!B:D,3,0)</f>
        <v>29.9</v>
      </c>
      <c r="H105" s="52">
        <f>Tabela3[[#This Row],[Custo unitário]]*Tabela3[[#This Row],[Quantidade]]</f>
        <v>119.6</v>
      </c>
      <c r="I105" s="95">
        <f>Tabela3[[#This Row],[Valor total]]-Tabela3[[#This Row],[Custo total]]</f>
        <v>80.400000000000006</v>
      </c>
      <c r="J105" s="54">
        <v>123496</v>
      </c>
      <c r="K105" s="54" t="s">
        <v>62</v>
      </c>
      <c r="L105" s="54" t="s">
        <v>75</v>
      </c>
      <c r="M105" s="54"/>
      <c r="N105" s="95">
        <v>3.9800000000000004</v>
      </c>
      <c r="O105" s="78">
        <v>196.02</v>
      </c>
      <c r="P105" s="95">
        <v>0</v>
      </c>
      <c r="Q105" s="77">
        <v>0</v>
      </c>
      <c r="R105" s="93">
        <v>196.02</v>
      </c>
    </row>
    <row r="106" spans="1:18" s="67" customFormat="1" x14ac:dyDescent="0.25">
      <c r="A106" s="74">
        <v>44105</v>
      </c>
      <c r="B106" s="23">
        <v>1008</v>
      </c>
      <c r="C106" s="23" t="s">
        <v>38</v>
      </c>
      <c r="D106" s="8">
        <v>7</v>
      </c>
      <c r="E106" s="30">
        <v>55</v>
      </c>
      <c r="F106" s="52">
        <f>Tabela3[[#This Row],[Valor Unitário]]*Tabela3[[#This Row],[Quantidade]]</f>
        <v>385</v>
      </c>
      <c r="G106" s="52">
        <f>VLOOKUP(Tabela3[[#This Row],[Código]],Cadastro_Produto!B:D,3,0)</f>
        <v>32.9</v>
      </c>
      <c r="H106" s="52">
        <f>Tabela3[[#This Row],[Custo unitário]]*Tabela3[[#This Row],[Quantidade]]</f>
        <v>230.29999999999998</v>
      </c>
      <c r="I106" s="95">
        <f>Tabela3[[#This Row],[Valor total]]-Tabela3[[#This Row],[Custo total]]</f>
        <v>154.70000000000002</v>
      </c>
      <c r="J106" s="54">
        <v>123496</v>
      </c>
      <c r="K106" s="54" t="s">
        <v>62</v>
      </c>
      <c r="L106" s="54" t="s">
        <v>75</v>
      </c>
      <c r="M106" s="54"/>
      <c r="N106" s="95">
        <v>7.6615000000000002</v>
      </c>
      <c r="O106" s="78">
        <v>377.33850000000001</v>
      </c>
      <c r="P106" s="95">
        <v>0</v>
      </c>
      <c r="Q106" s="77">
        <v>0</v>
      </c>
      <c r="R106" s="93">
        <v>377.33850000000001</v>
      </c>
    </row>
    <row r="107" spans="1:18" s="67" customFormat="1" x14ac:dyDescent="0.25">
      <c r="A107" s="74">
        <v>44105</v>
      </c>
      <c r="B107" s="23">
        <v>1010</v>
      </c>
      <c r="C107" s="23" t="s">
        <v>41</v>
      </c>
      <c r="D107" s="8">
        <v>5</v>
      </c>
      <c r="E107" s="30">
        <v>54.9</v>
      </c>
      <c r="F107" s="52">
        <f>Tabela3[[#This Row],[Valor Unitário]]*Tabela3[[#This Row],[Quantidade]]</f>
        <v>274.5</v>
      </c>
      <c r="G107" s="52">
        <f>VLOOKUP(Tabela3[[#This Row],[Código]],Cadastro_Produto!B:D,3,0)</f>
        <v>18.899999999999999</v>
      </c>
      <c r="H107" s="52">
        <f>Tabela3[[#This Row],[Custo unitário]]*Tabela3[[#This Row],[Quantidade]]</f>
        <v>94.5</v>
      </c>
      <c r="I107" s="95">
        <f>Tabela3[[#This Row],[Valor total]]-Tabela3[[#This Row],[Custo total]]</f>
        <v>180</v>
      </c>
      <c r="J107" s="54">
        <v>123496</v>
      </c>
      <c r="K107" s="54" t="s">
        <v>62</v>
      </c>
      <c r="L107" s="54" t="s">
        <v>75</v>
      </c>
      <c r="M107" s="54"/>
      <c r="N107" s="95">
        <v>5.4625500000000002</v>
      </c>
      <c r="O107" s="78">
        <v>269.03744999999998</v>
      </c>
      <c r="P107" s="95">
        <v>0</v>
      </c>
      <c r="Q107" s="77">
        <v>0</v>
      </c>
      <c r="R107" s="93">
        <v>269.03744999999998</v>
      </c>
    </row>
    <row r="108" spans="1:18" s="67" customFormat="1" x14ac:dyDescent="0.25">
      <c r="A108" s="74">
        <v>44140</v>
      </c>
      <c r="B108" s="23">
        <v>1010</v>
      </c>
      <c r="C108" s="23" t="s">
        <v>41</v>
      </c>
      <c r="D108" s="8">
        <v>9</v>
      </c>
      <c r="E108" s="30">
        <v>55</v>
      </c>
      <c r="F108" s="52">
        <f>Tabela3[[#This Row],[Valor Unitário]]*Tabela3[[#This Row],[Quantidade]]</f>
        <v>495</v>
      </c>
      <c r="G108" s="52">
        <f>VLOOKUP(Tabela3[[#This Row],[Código]],Cadastro_Produto!B:D,3,0)</f>
        <v>18.899999999999999</v>
      </c>
      <c r="H108" s="52">
        <f>Tabela3[[#This Row],[Custo unitário]]*Tabela3[[#This Row],[Quantidade]]</f>
        <v>170.1</v>
      </c>
      <c r="I108" s="95">
        <f>Tabela3[[#This Row],[Valor total]]-Tabela3[[#This Row],[Custo total]]</f>
        <v>324.89999999999998</v>
      </c>
      <c r="J108" s="54">
        <v>123495</v>
      </c>
      <c r="K108" s="54" t="s">
        <v>61</v>
      </c>
      <c r="L108" s="54" t="s">
        <v>8</v>
      </c>
      <c r="M108" s="54">
        <v>6</v>
      </c>
      <c r="N108" s="95">
        <v>0</v>
      </c>
      <c r="O108" s="78">
        <v>0</v>
      </c>
      <c r="P108" s="95">
        <v>24.403499999999998</v>
      </c>
      <c r="Q108" s="77">
        <v>470.59649999999999</v>
      </c>
      <c r="R108" s="93">
        <v>470.59649999999999</v>
      </c>
    </row>
    <row r="109" spans="1:18" s="67" customFormat="1" x14ac:dyDescent="0.25">
      <c r="A109" s="74">
        <v>44140</v>
      </c>
      <c r="B109" s="23">
        <v>1009</v>
      </c>
      <c r="C109" s="23" t="s">
        <v>40</v>
      </c>
      <c r="D109" s="8">
        <v>10</v>
      </c>
      <c r="E109" s="30">
        <v>59</v>
      </c>
      <c r="F109" s="52">
        <f>Tabela3[[#This Row],[Valor Unitário]]*Tabela3[[#This Row],[Quantidade]]</f>
        <v>590</v>
      </c>
      <c r="G109" s="52">
        <f>VLOOKUP(Tabela3[[#This Row],[Código]],Cadastro_Produto!B:D,3,0)</f>
        <v>38.9</v>
      </c>
      <c r="H109" s="52">
        <f>Tabela3[[#This Row],[Custo unitário]]*Tabela3[[#This Row],[Quantidade]]</f>
        <v>389</v>
      </c>
      <c r="I109" s="95">
        <f>Tabela3[[#This Row],[Valor total]]-Tabela3[[#This Row],[Custo total]]</f>
        <v>201</v>
      </c>
      <c r="J109" s="54">
        <v>123495</v>
      </c>
      <c r="K109" s="54" t="s">
        <v>61</v>
      </c>
      <c r="L109" s="54" t="s">
        <v>8</v>
      </c>
      <c r="M109" s="54">
        <v>6</v>
      </c>
      <c r="N109" s="95">
        <v>0</v>
      </c>
      <c r="O109" s="78">
        <v>0</v>
      </c>
      <c r="P109" s="95">
        <v>0</v>
      </c>
      <c r="Q109" s="77">
        <v>590</v>
      </c>
      <c r="R109" s="93">
        <v>590</v>
      </c>
    </row>
    <row r="110" spans="1:18" s="67" customFormat="1" x14ac:dyDescent="0.25">
      <c r="A110" s="74">
        <v>44140</v>
      </c>
      <c r="B110" s="23">
        <v>1008</v>
      </c>
      <c r="C110" s="23" t="s">
        <v>38</v>
      </c>
      <c r="D110" s="8">
        <v>7</v>
      </c>
      <c r="E110" s="30">
        <v>50</v>
      </c>
      <c r="F110" s="52">
        <f>Tabela3[[#This Row],[Valor Unitário]]*Tabela3[[#This Row],[Quantidade]]</f>
        <v>350</v>
      </c>
      <c r="G110" s="52">
        <f>VLOOKUP(Tabela3[[#This Row],[Código]],Cadastro_Produto!B:D,3,0)</f>
        <v>32.9</v>
      </c>
      <c r="H110" s="52">
        <f>Tabela3[[#This Row],[Custo unitário]]*Tabela3[[#This Row],[Quantidade]]</f>
        <v>230.29999999999998</v>
      </c>
      <c r="I110" s="95">
        <f>Tabela3[[#This Row],[Valor total]]-Tabela3[[#This Row],[Custo total]]</f>
        <v>119.70000000000002</v>
      </c>
      <c r="J110" s="54">
        <v>123495</v>
      </c>
      <c r="K110" s="54" t="s">
        <v>61</v>
      </c>
      <c r="L110" s="54" t="s">
        <v>8</v>
      </c>
      <c r="M110" s="54">
        <v>6</v>
      </c>
      <c r="N110" s="95">
        <v>0</v>
      </c>
      <c r="O110" s="78">
        <v>0</v>
      </c>
      <c r="P110" s="95">
        <v>17.254999999999999</v>
      </c>
      <c r="Q110" s="77">
        <v>332.745</v>
      </c>
      <c r="R110" s="93">
        <v>332.745</v>
      </c>
    </row>
    <row r="111" spans="1:18" s="67" customFormat="1" x14ac:dyDescent="0.25">
      <c r="A111" s="74">
        <v>44140</v>
      </c>
      <c r="B111" s="23">
        <v>1007</v>
      </c>
      <c r="C111" s="23" t="s">
        <v>37</v>
      </c>
      <c r="D111" s="8">
        <v>8</v>
      </c>
      <c r="E111" s="30">
        <v>60</v>
      </c>
      <c r="F111" s="52">
        <f>Tabela3[[#This Row],[Valor Unitário]]*Tabela3[[#This Row],[Quantidade]]</f>
        <v>480</v>
      </c>
      <c r="G111" s="52">
        <f>VLOOKUP(Tabela3[[#This Row],[Código]],Cadastro_Produto!B:D,3,0)</f>
        <v>29.9</v>
      </c>
      <c r="H111" s="52">
        <f>Tabela3[[#This Row],[Custo unitário]]*Tabela3[[#This Row],[Quantidade]]</f>
        <v>239.2</v>
      </c>
      <c r="I111" s="95">
        <f>Tabela3[[#This Row],[Valor total]]-Tabela3[[#This Row],[Custo total]]</f>
        <v>240.8</v>
      </c>
      <c r="J111" s="54">
        <v>123495</v>
      </c>
      <c r="K111" s="54" t="s">
        <v>61</v>
      </c>
      <c r="L111" s="54" t="s">
        <v>8</v>
      </c>
      <c r="M111" s="54">
        <v>6</v>
      </c>
      <c r="N111" s="95">
        <v>0</v>
      </c>
      <c r="O111" s="78">
        <v>0</v>
      </c>
      <c r="P111" s="95">
        <v>23.663999999999998</v>
      </c>
      <c r="Q111" s="77">
        <v>456.33600000000001</v>
      </c>
      <c r="R111" s="93">
        <v>456.33600000000001</v>
      </c>
    </row>
    <row r="112" spans="1:18" s="67" customFormat="1" x14ac:dyDescent="0.25">
      <c r="A112" s="74">
        <v>44140</v>
      </c>
      <c r="B112" s="23">
        <v>1005</v>
      </c>
      <c r="C112" s="23" t="s">
        <v>34</v>
      </c>
      <c r="D112" s="8">
        <v>4</v>
      </c>
      <c r="E112" s="30">
        <v>181.5</v>
      </c>
      <c r="F112" s="52">
        <f>Tabela3[[#This Row],[Valor Unitário]]*Tabela3[[#This Row],[Quantidade]]</f>
        <v>726</v>
      </c>
      <c r="G112" s="52">
        <f>VLOOKUP(Tabela3[[#This Row],[Código]],Cadastro_Produto!B:D,3,0)</f>
        <v>91.5</v>
      </c>
      <c r="H112" s="52">
        <f>Tabela3[[#This Row],[Custo unitário]]*Tabela3[[#This Row],[Quantidade]]</f>
        <v>366</v>
      </c>
      <c r="I112" s="95">
        <f>Tabela3[[#This Row],[Valor total]]-Tabela3[[#This Row],[Custo total]]</f>
        <v>360</v>
      </c>
      <c r="J112" s="54">
        <v>123495</v>
      </c>
      <c r="K112" s="54" t="s">
        <v>61</v>
      </c>
      <c r="L112" s="54" t="s">
        <v>8</v>
      </c>
      <c r="M112" s="54"/>
      <c r="N112" s="95">
        <v>0</v>
      </c>
      <c r="O112" s="78">
        <v>0</v>
      </c>
      <c r="P112" s="95">
        <v>35.791799999999995</v>
      </c>
      <c r="Q112" s="77">
        <v>690.20820000000003</v>
      </c>
      <c r="R112" s="93">
        <v>690.20820000000003</v>
      </c>
    </row>
    <row r="113" spans="1:18" s="67" customFormat="1" x14ac:dyDescent="0.25">
      <c r="A113" s="74">
        <v>44136</v>
      </c>
      <c r="B113" s="23">
        <v>1005</v>
      </c>
      <c r="C113" s="23" t="s">
        <v>34</v>
      </c>
      <c r="D113" s="8">
        <v>1</v>
      </c>
      <c r="E113" s="30">
        <v>181.5</v>
      </c>
      <c r="F113" s="52">
        <f>Tabela3[[#This Row],[Valor Unitário]]*Tabela3[[#This Row],[Quantidade]]</f>
        <v>181.5</v>
      </c>
      <c r="G113" s="52">
        <f>VLOOKUP(Tabela3[[#This Row],[Código]],Cadastro_Produto!B:D,3,0)</f>
        <v>91.5</v>
      </c>
      <c r="H113" s="52">
        <f>Tabela3[[#This Row],[Custo unitário]]*Tabela3[[#This Row],[Quantidade]]</f>
        <v>91.5</v>
      </c>
      <c r="I113" s="95">
        <f>Tabela3[[#This Row],[Valor total]]-Tabela3[[#This Row],[Custo total]]</f>
        <v>90</v>
      </c>
      <c r="J113" s="54">
        <v>123494</v>
      </c>
      <c r="K113" s="54" t="s">
        <v>7</v>
      </c>
      <c r="L113" s="54" t="s">
        <v>75</v>
      </c>
      <c r="M113" s="54"/>
      <c r="N113" s="95">
        <v>0</v>
      </c>
      <c r="O113" s="78">
        <v>0</v>
      </c>
      <c r="P113" s="95">
        <v>0</v>
      </c>
      <c r="Q113" s="77">
        <v>0</v>
      </c>
      <c r="R113" s="93">
        <v>181.5</v>
      </c>
    </row>
    <row r="114" spans="1:18" s="67" customFormat="1" x14ac:dyDescent="0.25">
      <c r="A114" s="74">
        <v>44136</v>
      </c>
      <c r="B114" s="23">
        <v>1006</v>
      </c>
      <c r="C114" s="23" t="s">
        <v>35</v>
      </c>
      <c r="D114" s="8">
        <v>5</v>
      </c>
      <c r="E114" s="30">
        <v>50</v>
      </c>
      <c r="F114" s="52">
        <f>Tabela3[[#This Row],[Valor Unitário]]*Tabela3[[#This Row],[Quantidade]]</f>
        <v>250</v>
      </c>
      <c r="G114" s="52">
        <f>VLOOKUP(Tabela3[[#This Row],[Código]],Cadastro_Produto!B:D,3,0)</f>
        <v>35.5</v>
      </c>
      <c r="H114" s="52">
        <f>Tabela3[[#This Row],[Custo unitário]]*Tabela3[[#This Row],[Quantidade]]</f>
        <v>177.5</v>
      </c>
      <c r="I114" s="95">
        <f>Tabela3[[#This Row],[Valor total]]-Tabela3[[#This Row],[Custo total]]</f>
        <v>72.5</v>
      </c>
      <c r="J114" s="54">
        <v>123494</v>
      </c>
      <c r="K114" s="54" t="s">
        <v>7</v>
      </c>
      <c r="L114" s="54" t="s">
        <v>75</v>
      </c>
      <c r="M114" s="54"/>
      <c r="N114" s="95">
        <v>0</v>
      </c>
      <c r="O114" s="78">
        <v>0</v>
      </c>
      <c r="P114" s="95">
        <v>0</v>
      </c>
      <c r="Q114" s="77">
        <v>0</v>
      </c>
      <c r="R114" s="93">
        <v>250</v>
      </c>
    </row>
    <row r="115" spans="1:18" s="67" customFormat="1" x14ac:dyDescent="0.25">
      <c r="A115" s="74">
        <v>44136</v>
      </c>
      <c r="B115" s="23">
        <v>1007</v>
      </c>
      <c r="C115" s="23" t="s">
        <v>37</v>
      </c>
      <c r="D115" s="8">
        <v>4</v>
      </c>
      <c r="E115" s="30">
        <v>50</v>
      </c>
      <c r="F115" s="52">
        <f>Tabela3[[#This Row],[Valor Unitário]]*Tabela3[[#This Row],[Quantidade]]</f>
        <v>200</v>
      </c>
      <c r="G115" s="52">
        <f>VLOOKUP(Tabela3[[#This Row],[Código]],Cadastro_Produto!B:D,3,0)</f>
        <v>29.9</v>
      </c>
      <c r="H115" s="52">
        <f>Tabela3[[#This Row],[Custo unitário]]*Tabela3[[#This Row],[Quantidade]]</f>
        <v>119.6</v>
      </c>
      <c r="I115" s="95">
        <f>Tabela3[[#This Row],[Valor total]]-Tabela3[[#This Row],[Custo total]]</f>
        <v>80.400000000000006</v>
      </c>
      <c r="J115" s="54">
        <v>123494</v>
      </c>
      <c r="K115" s="54" t="s">
        <v>7</v>
      </c>
      <c r="L115" s="54" t="s">
        <v>75</v>
      </c>
      <c r="M115" s="54"/>
      <c r="N115" s="95">
        <v>0</v>
      </c>
      <c r="O115" s="78">
        <v>0</v>
      </c>
      <c r="P115" s="95">
        <v>0</v>
      </c>
      <c r="Q115" s="77">
        <v>0</v>
      </c>
      <c r="R115" s="93">
        <v>200</v>
      </c>
    </row>
    <row r="116" spans="1:18" s="67" customFormat="1" x14ac:dyDescent="0.25">
      <c r="A116" s="74">
        <v>44136</v>
      </c>
      <c r="B116" s="23">
        <v>1009</v>
      </c>
      <c r="C116" s="23" t="s">
        <v>40</v>
      </c>
      <c r="D116" s="8">
        <v>7</v>
      </c>
      <c r="E116" s="30">
        <v>65</v>
      </c>
      <c r="F116" s="52">
        <f>Tabela3[[#This Row],[Valor Unitário]]*Tabela3[[#This Row],[Quantidade]]</f>
        <v>455</v>
      </c>
      <c r="G116" s="52">
        <f>VLOOKUP(Tabela3[[#This Row],[Código]],Cadastro_Produto!B:D,3,0)</f>
        <v>38.9</v>
      </c>
      <c r="H116" s="52">
        <f>Tabela3[[#This Row],[Custo unitário]]*Tabela3[[#This Row],[Quantidade]]</f>
        <v>272.3</v>
      </c>
      <c r="I116" s="95">
        <f>Tabela3[[#This Row],[Valor total]]-Tabela3[[#This Row],[Custo total]]</f>
        <v>182.7</v>
      </c>
      <c r="J116" s="54">
        <v>123494</v>
      </c>
      <c r="K116" s="54" t="s">
        <v>7</v>
      </c>
      <c r="L116" s="54" t="s">
        <v>75</v>
      </c>
      <c r="M116" s="54"/>
      <c r="N116" s="95">
        <v>0</v>
      </c>
      <c r="O116" s="78">
        <v>0</v>
      </c>
      <c r="P116" s="95">
        <v>0</v>
      </c>
      <c r="Q116" s="77">
        <v>0</v>
      </c>
      <c r="R116" s="93">
        <v>455</v>
      </c>
    </row>
    <row r="117" spans="1:18" s="67" customFormat="1" x14ac:dyDescent="0.25">
      <c r="A117" s="74">
        <v>44136</v>
      </c>
      <c r="B117" s="23">
        <v>1010</v>
      </c>
      <c r="C117" s="23" t="s">
        <v>41</v>
      </c>
      <c r="D117" s="8">
        <v>6</v>
      </c>
      <c r="E117" s="30">
        <v>50</v>
      </c>
      <c r="F117" s="52">
        <f>Tabela3[[#This Row],[Valor Unitário]]*Tabela3[[#This Row],[Quantidade]]</f>
        <v>300</v>
      </c>
      <c r="G117" s="52">
        <f>VLOOKUP(Tabela3[[#This Row],[Código]],Cadastro_Produto!B:D,3,0)</f>
        <v>18.899999999999999</v>
      </c>
      <c r="H117" s="52">
        <f>Tabela3[[#This Row],[Custo unitário]]*Tabela3[[#This Row],[Quantidade]]</f>
        <v>113.39999999999999</v>
      </c>
      <c r="I117" s="95">
        <f>Tabela3[[#This Row],[Valor total]]-Tabela3[[#This Row],[Custo total]]</f>
        <v>186.60000000000002</v>
      </c>
      <c r="J117" s="54">
        <v>123494</v>
      </c>
      <c r="K117" s="54" t="s">
        <v>7</v>
      </c>
      <c r="L117" s="54" t="s">
        <v>75</v>
      </c>
      <c r="M117" s="54"/>
      <c r="N117" s="95">
        <v>0</v>
      </c>
      <c r="O117" s="78">
        <v>0</v>
      </c>
      <c r="P117" s="95">
        <v>0</v>
      </c>
      <c r="Q117" s="77">
        <v>0</v>
      </c>
      <c r="R117" s="93">
        <v>300</v>
      </c>
    </row>
    <row r="118" spans="1:18" s="67" customFormat="1" x14ac:dyDescent="0.25">
      <c r="A118" s="74">
        <v>44175</v>
      </c>
      <c r="B118" s="23">
        <v>1001</v>
      </c>
      <c r="C118" s="23" t="s">
        <v>9</v>
      </c>
      <c r="D118" s="8">
        <v>5</v>
      </c>
      <c r="E118" s="30">
        <v>65</v>
      </c>
      <c r="F118" s="52">
        <f>Tabela3[[#This Row],[Valor Unitário]]*Tabela3[[#This Row],[Quantidade]]</f>
        <v>325</v>
      </c>
      <c r="G118" s="52">
        <f>VLOOKUP(Tabela3[[#This Row],[Código]],Cadastro_Produto!B:D,3,0)</f>
        <v>24.9</v>
      </c>
      <c r="H118" s="52">
        <f>Tabela3[[#This Row],[Custo unitário]]*Tabela3[[#This Row],[Quantidade]]</f>
        <v>124.5</v>
      </c>
      <c r="I118" s="95">
        <f>Tabela3[[#This Row],[Valor total]]-Tabela3[[#This Row],[Custo total]]</f>
        <v>200.5</v>
      </c>
      <c r="J118" s="54">
        <v>123493</v>
      </c>
      <c r="K118" s="54" t="s">
        <v>61</v>
      </c>
      <c r="L118" s="54" t="s">
        <v>8</v>
      </c>
      <c r="M118" s="54">
        <v>8</v>
      </c>
      <c r="N118" s="95">
        <v>0</v>
      </c>
      <c r="O118" s="78">
        <v>0</v>
      </c>
      <c r="P118" s="95">
        <v>20.052499999999998</v>
      </c>
      <c r="Q118" s="77">
        <v>304.94749999999999</v>
      </c>
      <c r="R118" s="93">
        <v>304.94749999999999</v>
      </c>
    </row>
    <row r="119" spans="1:18" s="67" customFormat="1" x14ac:dyDescent="0.25">
      <c r="A119" s="74">
        <v>44175</v>
      </c>
      <c r="B119" s="23">
        <v>1002</v>
      </c>
      <c r="C119" s="23" t="s">
        <v>31</v>
      </c>
      <c r="D119" s="8">
        <v>7</v>
      </c>
      <c r="E119" s="30">
        <v>50</v>
      </c>
      <c r="F119" s="52">
        <f>Tabela3[[#This Row],[Valor Unitário]]*Tabela3[[#This Row],[Quantidade]]</f>
        <v>350</v>
      </c>
      <c r="G119" s="52">
        <f>VLOOKUP(Tabela3[[#This Row],[Código]],Cadastro_Produto!B:D,3,0)</f>
        <v>18.5</v>
      </c>
      <c r="H119" s="52">
        <f>Tabela3[[#This Row],[Custo unitário]]*Tabela3[[#This Row],[Quantidade]]</f>
        <v>129.5</v>
      </c>
      <c r="I119" s="95">
        <f>Tabela3[[#This Row],[Valor total]]-Tabela3[[#This Row],[Custo total]]</f>
        <v>220.5</v>
      </c>
      <c r="J119" s="54">
        <v>123493</v>
      </c>
      <c r="K119" s="54" t="s">
        <v>61</v>
      </c>
      <c r="L119" s="54" t="s">
        <v>8</v>
      </c>
      <c r="M119" s="54">
        <v>8</v>
      </c>
      <c r="N119" s="95">
        <v>0</v>
      </c>
      <c r="O119" s="78">
        <v>0</v>
      </c>
      <c r="P119" s="95">
        <v>21.594999999999999</v>
      </c>
      <c r="Q119" s="77">
        <v>328.40499999999997</v>
      </c>
      <c r="R119" s="93">
        <v>328.40499999999997</v>
      </c>
    </row>
    <row r="120" spans="1:18" s="67" customFormat="1" x14ac:dyDescent="0.25">
      <c r="A120" s="74">
        <v>44175</v>
      </c>
      <c r="B120" s="23">
        <v>1003</v>
      </c>
      <c r="C120" s="23" t="s">
        <v>32</v>
      </c>
      <c r="D120" s="8">
        <v>5</v>
      </c>
      <c r="E120" s="30">
        <v>181</v>
      </c>
      <c r="F120" s="52">
        <f>Tabela3[[#This Row],[Valor Unitário]]*Tabela3[[#This Row],[Quantidade]]</f>
        <v>905</v>
      </c>
      <c r="G120" s="52">
        <f>VLOOKUP(Tabela3[[#This Row],[Código]],Cadastro_Produto!B:D,3,0)</f>
        <v>85.9</v>
      </c>
      <c r="H120" s="52">
        <f>Tabela3[[#This Row],[Custo unitário]]*Tabela3[[#This Row],[Quantidade]]</f>
        <v>429.5</v>
      </c>
      <c r="I120" s="95">
        <f>Tabela3[[#This Row],[Valor total]]-Tabela3[[#This Row],[Custo total]]</f>
        <v>475.5</v>
      </c>
      <c r="J120" s="54">
        <v>123493</v>
      </c>
      <c r="K120" s="54" t="s">
        <v>61</v>
      </c>
      <c r="L120" s="54" t="s">
        <v>8</v>
      </c>
      <c r="M120" s="54">
        <v>8</v>
      </c>
      <c r="N120" s="95">
        <v>0</v>
      </c>
      <c r="O120" s="78">
        <v>0</v>
      </c>
      <c r="P120" s="95">
        <v>55.838499999999996</v>
      </c>
      <c r="Q120" s="77">
        <v>849.16150000000005</v>
      </c>
      <c r="R120" s="93">
        <v>849.16150000000005</v>
      </c>
    </row>
    <row r="121" spans="1:18" s="67" customFormat="1" x14ac:dyDescent="0.25">
      <c r="A121" s="74">
        <v>44175</v>
      </c>
      <c r="B121" s="23">
        <v>1005</v>
      </c>
      <c r="C121" s="23" t="s">
        <v>34</v>
      </c>
      <c r="D121" s="8">
        <v>5</v>
      </c>
      <c r="E121" s="30">
        <v>191</v>
      </c>
      <c r="F121" s="52">
        <f>Tabela3[[#This Row],[Valor Unitário]]*Tabela3[[#This Row],[Quantidade]]</f>
        <v>955</v>
      </c>
      <c r="G121" s="52">
        <f>VLOOKUP(Tabela3[[#This Row],[Código]],Cadastro_Produto!B:D,3,0)</f>
        <v>91.5</v>
      </c>
      <c r="H121" s="52">
        <f>Tabela3[[#This Row],[Custo unitário]]*Tabela3[[#This Row],[Quantidade]]</f>
        <v>457.5</v>
      </c>
      <c r="I121" s="95">
        <f>Tabela3[[#This Row],[Valor total]]-Tabela3[[#This Row],[Custo total]]</f>
        <v>497.5</v>
      </c>
      <c r="J121" s="54">
        <v>123493</v>
      </c>
      <c r="K121" s="54" t="s">
        <v>61</v>
      </c>
      <c r="L121" s="54" t="s">
        <v>8</v>
      </c>
      <c r="M121" s="54">
        <v>8</v>
      </c>
      <c r="N121" s="95">
        <v>0</v>
      </c>
      <c r="O121" s="78">
        <v>0</v>
      </c>
      <c r="P121" s="95">
        <v>58.923499999999997</v>
      </c>
      <c r="Q121" s="77">
        <v>896.07650000000001</v>
      </c>
      <c r="R121" s="93">
        <v>896.07650000000001</v>
      </c>
    </row>
    <row r="122" spans="1:18" s="67" customFormat="1" x14ac:dyDescent="0.25">
      <c r="A122" s="74">
        <v>44175</v>
      </c>
      <c r="B122" s="23">
        <v>1010</v>
      </c>
      <c r="C122" s="23" t="s">
        <v>41</v>
      </c>
      <c r="D122" s="8">
        <v>3</v>
      </c>
      <c r="E122" s="30">
        <v>200</v>
      </c>
      <c r="F122" s="52">
        <f>Tabela3[[#This Row],[Valor Unitário]]*Tabela3[[#This Row],[Quantidade]]</f>
        <v>600</v>
      </c>
      <c r="G122" s="52">
        <f>VLOOKUP(Tabela3[[#This Row],[Código]],Cadastro_Produto!B:D,3,0)</f>
        <v>18.899999999999999</v>
      </c>
      <c r="H122" s="52">
        <f>Tabela3[[#This Row],[Custo unitário]]*Tabela3[[#This Row],[Quantidade]]</f>
        <v>56.699999999999996</v>
      </c>
      <c r="I122" s="95">
        <f>Tabela3[[#This Row],[Valor total]]-Tabela3[[#This Row],[Custo total]]</f>
        <v>543.29999999999995</v>
      </c>
      <c r="J122" s="54">
        <v>123493</v>
      </c>
      <c r="K122" s="54" t="s">
        <v>61</v>
      </c>
      <c r="L122" s="54" t="s">
        <v>8</v>
      </c>
      <c r="M122" s="54"/>
      <c r="N122" s="95">
        <v>0</v>
      </c>
      <c r="O122" s="78">
        <v>0</v>
      </c>
      <c r="P122" s="95">
        <v>37.019999999999996</v>
      </c>
      <c r="Q122" s="77">
        <v>562.98</v>
      </c>
      <c r="R122" s="93">
        <v>562.98</v>
      </c>
    </row>
    <row r="123" spans="1:18" s="67" customFormat="1" x14ac:dyDescent="0.25">
      <c r="A123" s="74">
        <v>44208</v>
      </c>
      <c r="B123" s="23">
        <v>1010</v>
      </c>
      <c r="C123" s="23" t="s">
        <v>41</v>
      </c>
      <c r="D123" s="8">
        <v>1</v>
      </c>
      <c r="E123" s="30">
        <v>56</v>
      </c>
      <c r="F123" s="52">
        <f>Tabela3[[#This Row],[Valor Unitário]]*Tabela3[[#This Row],[Quantidade]]</f>
        <v>56</v>
      </c>
      <c r="G123" s="52">
        <f>VLOOKUP(Tabela3[[#This Row],[Código]],Cadastro_Produto!B:D,3,0)</f>
        <v>18.899999999999999</v>
      </c>
      <c r="H123" s="52">
        <f>Tabela3[[#This Row],[Custo unitário]]*Tabela3[[#This Row],[Quantidade]]</f>
        <v>18.899999999999999</v>
      </c>
      <c r="I123" s="95">
        <f>Tabela3[[#This Row],[Valor total]]-Tabela3[[#This Row],[Custo total]]</f>
        <v>37.1</v>
      </c>
      <c r="J123" s="54">
        <v>123492</v>
      </c>
      <c r="K123" s="54" t="s">
        <v>63</v>
      </c>
      <c r="L123" s="54" t="s">
        <v>75</v>
      </c>
      <c r="M123" s="54"/>
      <c r="N123" s="95">
        <v>0</v>
      </c>
      <c r="O123" s="78">
        <v>0</v>
      </c>
      <c r="P123" s="95">
        <v>0</v>
      </c>
      <c r="Q123" s="77">
        <v>0</v>
      </c>
      <c r="R123" s="93">
        <v>56</v>
      </c>
    </row>
    <row r="124" spans="1:18" s="67" customFormat="1" x14ac:dyDescent="0.25">
      <c r="A124" s="74">
        <v>44208</v>
      </c>
      <c r="B124" s="23">
        <v>1009</v>
      </c>
      <c r="C124" s="23" t="s">
        <v>40</v>
      </c>
      <c r="D124" s="8">
        <v>1</v>
      </c>
      <c r="E124" s="30">
        <v>50</v>
      </c>
      <c r="F124" s="52">
        <f>Tabela3[[#This Row],[Valor Unitário]]*Tabela3[[#This Row],[Quantidade]]</f>
        <v>50</v>
      </c>
      <c r="G124" s="52">
        <f>VLOOKUP(Tabela3[[#This Row],[Código]],Cadastro_Produto!B:D,3,0)</f>
        <v>38.9</v>
      </c>
      <c r="H124" s="52">
        <f>Tabela3[[#This Row],[Custo unitário]]*Tabela3[[#This Row],[Quantidade]]</f>
        <v>38.9</v>
      </c>
      <c r="I124" s="95">
        <f>Tabela3[[#This Row],[Valor total]]-Tabela3[[#This Row],[Custo total]]</f>
        <v>11.100000000000001</v>
      </c>
      <c r="J124" s="54">
        <v>123492</v>
      </c>
      <c r="K124" s="54" t="s">
        <v>63</v>
      </c>
      <c r="L124" s="54" t="s">
        <v>75</v>
      </c>
      <c r="M124" s="54"/>
      <c r="N124" s="95">
        <v>0</v>
      </c>
      <c r="O124" s="78">
        <v>0</v>
      </c>
      <c r="P124" s="95">
        <v>0</v>
      </c>
      <c r="Q124" s="77">
        <v>0</v>
      </c>
      <c r="R124" s="93">
        <v>50</v>
      </c>
    </row>
    <row r="125" spans="1:18" s="67" customFormat="1" x14ac:dyDescent="0.25">
      <c r="A125" s="74">
        <v>44208</v>
      </c>
      <c r="B125" s="23">
        <v>1008</v>
      </c>
      <c r="C125" s="23" t="s">
        <v>38</v>
      </c>
      <c r="D125" s="8">
        <v>1</v>
      </c>
      <c r="E125" s="30">
        <v>55</v>
      </c>
      <c r="F125" s="52">
        <f>Tabela3[[#This Row],[Valor Unitário]]*Tabela3[[#This Row],[Quantidade]]</f>
        <v>55</v>
      </c>
      <c r="G125" s="52">
        <f>VLOOKUP(Tabela3[[#This Row],[Código]],Cadastro_Produto!B:D,3,0)</f>
        <v>32.9</v>
      </c>
      <c r="H125" s="52">
        <f>Tabela3[[#This Row],[Custo unitário]]*Tabela3[[#This Row],[Quantidade]]</f>
        <v>32.9</v>
      </c>
      <c r="I125" s="95">
        <f>Tabela3[[#This Row],[Valor total]]-Tabela3[[#This Row],[Custo total]]</f>
        <v>22.1</v>
      </c>
      <c r="J125" s="54">
        <v>123492</v>
      </c>
      <c r="K125" s="54" t="s">
        <v>63</v>
      </c>
      <c r="L125" s="54" t="s">
        <v>75</v>
      </c>
      <c r="M125" s="54"/>
      <c r="N125" s="95">
        <v>0</v>
      </c>
      <c r="O125" s="78">
        <v>0</v>
      </c>
      <c r="P125" s="95">
        <v>0</v>
      </c>
      <c r="Q125" s="77">
        <v>0</v>
      </c>
      <c r="R125" s="93">
        <v>55</v>
      </c>
    </row>
    <row r="126" spans="1:18" s="67" customFormat="1" x14ac:dyDescent="0.25">
      <c r="A126" s="74">
        <v>44208</v>
      </c>
      <c r="B126" s="23">
        <v>1007</v>
      </c>
      <c r="C126" s="23" t="s">
        <v>37</v>
      </c>
      <c r="D126" s="8">
        <v>1</v>
      </c>
      <c r="E126" s="30">
        <v>50</v>
      </c>
      <c r="F126" s="52">
        <f>Tabela3[[#This Row],[Valor Unitário]]*Tabela3[[#This Row],[Quantidade]]</f>
        <v>50</v>
      </c>
      <c r="G126" s="52">
        <f>VLOOKUP(Tabela3[[#This Row],[Código]],Cadastro_Produto!B:D,3,0)</f>
        <v>29.9</v>
      </c>
      <c r="H126" s="52">
        <f>Tabela3[[#This Row],[Custo unitário]]*Tabela3[[#This Row],[Quantidade]]</f>
        <v>29.9</v>
      </c>
      <c r="I126" s="95">
        <f>Tabela3[[#This Row],[Valor total]]-Tabela3[[#This Row],[Custo total]]</f>
        <v>20.100000000000001</v>
      </c>
      <c r="J126" s="54">
        <v>123492</v>
      </c>
      <c r="K126" s="54" t="s">
        <v>63</v>
      </c>
      <c r="L126" s="54" t="s">
        <v>75</v>
      </c>
      <c r="M126" s="54"/>
      <c r="N126" s="95">
        <v>0</v>
      </c>
      <c r="O126" s="78">
        <v>0</v>
      </c>
      <c r="P126" s="95">
        <v>0</v>
      </c>
      <c r="Q126" s="77">
        <v>0</v>
      </c>
      <c r="R126" s="93">
        <v>50</v>
      </c>
    </row>
    <row r="127" spans="1:18" s="67" customFormat="1" x14ac:dyDescent="0.25">
      <c r="A127" s="74">
        <v>44208</v>
      </c>
      <c r="B127" s="23">
        <v>1005</v>
      </c>
      <c r="C127" s="23" t="s">
        <v>34</v>
      </c>
      <c r="D127" s="8">
        <v>1</v>
      </c>
      <c r="E127" s="30">
        <v>181</v>
      </c>
      <c r="F127" s="52">
        <f>Tabela3[[#This Row],[Valor Unitário]]*Tabela3[[#This Row],[Quantidade]]</f>
        <v>181</v>
      </c>
      <c r="G127" s="52">
        <f>VLOOKUP(Tabela3[[#This Row],[Código]],Cadastro_Produto!B:D,3,0)</f>
        <v>91.5</v>
      </c>
      <c r="H127" s="52">
        <f>Tabela3[[#This Row],[Custo unitário]]*Tabela3[[#This Row],[Quantidade]]</f>
        <v>91.5</v>
      </c>
      <c r="I127" s="95">
        <f>Tabela3[[#This Row],[Valor total]]-Tabela3[[#This Row],[Custo total]]</f>
        <v>89.5</v>
      </c>
      <c r="J127" s="54">
        <v>123492</v>
      </c>
      <c r="K127" s="54" t="s">
        <v>63</v>
      </c>
      <c r="L127" s="54" t="s">
        <v>75</v>
      </c>
      <c r="M127" s="54"/>
      <c r="N127" s="95">
        <v>0</v>
      </c>
      <c r="O127" s="78">
        <v>0</v>
      </c>
      <c r="P127" s="95">
        <v>0</v>
      </c>
      <c r="Q127" s="77">
        <v>0</v>
      </c>
      <c r="R127" s="93">
        <v>181</v>
      </c>
    </row>
    <row r="128" spans="1:18" s="67" customFormat="1" x14ac:dyDescent="0.25">
      <c r="A128" s="74">
        <v>44214</v>
      </c>
      <c r="B128" s="23">
        <v>1001</v>
      </c>
      <c r="C128" s="23" t="s">
        <v>9</v>
      </c>
      <c r="D128" s="8">
        <v>5</v>
      </c>
      <c r="E128" s="30">
        <v>80</v>
      </c>
      <c r="F128" s="52">
        <f>Tabela3[[#This Row],[Valor Unitário]]*Tabela3[[#This Row],[Quantidade]]</f>
        <v>400</v>
      </c>
      <c r="G128" s="52">
        <f>VLOOKUP(Tabela3[[#This Row],[Código]],Cadastro_Produto!B:D,3,0)</f>
        <v>24.9</v>
      </c>
      <c r="H128" s="52">
        <f>Tabela3[[#This Row],[Custo unitário]]*Tabela3[[#This Row],[Quantidade]]</f>
        <v>124.5</v>
      </c>
      <c r="I128" s="95">
        <f>Tabela3[[#This Row],[Valor total]]-Tabela3[[#This Row],[Custo total]]</f>
        <v>275.5</v>
      </c>
      <c r="J128" s="54">
        <v>123491</v>
      </c>
      <c r="K128" s="54" t="s">
        <v>61</v>
      </c>
      <c r="L128" s="54" t="s">
        <v>8</v>
      </c>
      <c r="M128" s="54">
        <v>6</v>
      </c>
      <c r="N128" s="95">
        <v>0</v>
      </c>
      <c r="O128" s="78">
        <v>0</v>
      </c>
      <c r="P128" s="95">
        <v>19.72</v>
      </c>
      <c r="Q128" s="77">
        <v>380.28</v>
      </c>
      <c r="R128" s="93">
        <v>380.28</v>
      </c>
    </row>
    <row r="129" spans="1:18" s="67" customFormat="1" x14ac:dyDescent="0.25">
      <c r="A129" s="74">
        <v>44214</v>
      </c>
      <c r="B129" s="23">
        <v>1002</v>
      </c>
      <c r="C129" s="23" t="s">
        <v>31</v>
      </c>
      <c r="D129" s="8">
        <v>3</v>
      </c>
      <c r="E129" s="30">
        <v>69</v>
      </c>
      <c r="F129" s="52">
        <f>Tabela3[[#This Row],[Valor Unitário]]*Tabela3[[#This Row],[Quantidade]]</f>
        <v>207</v>
      </c>
      <c r="G129" s="52">
        <f>VLOOKUP(Tabela3[[#This Row],[Código]],Cadastro_Produto!B:D,3,0)</f>
        <v>18.5</v>
      </c>
      <c r="H129" s="52">
        <f>Tabela3[[#This Row],[Custo unitário]]*Tabela3[[#This Row],[Quantidade]]</f>
        <v>55.5</v>
      </c>
      <c r="I129" s="95">
        <f>Tabela3[[#This Row],[Valor total]]-Tabela3[[#This Row],[Custo total]]</f>
        <v>151.5</v>
      </c>
      <c r="J129" s="54">
        <v>123491</v>
      </c>
      <c r="K129" s="54" t="s">
        <v>61</v>
      </c>
      <c r="L129" s="54" t="s">
        <v>8</v>
      </c>
      <c r="M129" s="54">
        <v>6</v>
      </c>
      <c r="N129" s="95">
        <v>0</v>
      </c>
      <c r="O129" s="78">
        <v>0</v>
      </c>
      <c r="P129" s="95">
        <v>0</v>
      </c>
      <c r="Q129" s="77">
        <v>207</v>
      </c>
      <c r="R129" s="93">
        <v>207</v>
      </c>
    </row>
    <row r="130" spans="1:18" s="67" customFormat="1" x14ac:dyDescent="0.25">
      <c r="A130" s="74">
        <v>44214</v>
      </c>
      <c r="B130" s="23">
        <v>1003</v>
      </c>
      <c r="C130" s="23" t="s">
        <v>32</v>
      </c>
      <c r="D130" s="8">
        <v>3</v>
      </c>
      <c r="E130" s="30">
        <v>181</v>
      </c>
      <c r="F130" s="52">
        <f>Tabela3[[#This Row],[Valor Unitário]]*Tabela3[[#This Row],[Quantidade]]</f>
        <v>543</v>
      </c>
      <c r="G130" s="52">
        <f>VLOOKUP(Tabela3[[#This Row],[Código]],Cadastro_Produto!B:D,3,0)</f>
        <v>85.9</v>
      </c>
      <c r="H130" s="52">
        <f>Tabela3[[#This Row],[Custo unitário]]*Tabela3[[#This Row],[Quantidade]]</f>
        <v>257.70000000000005</v>
      </c>
      <c r="I130" s="95">
        <f>Tabela3[[#This Row],[Valor total]]-Tabela3[[#This Row],[Custo total]]</f>
        <v>285.29999999999995</v>
      </c>
      <c r="J130" s="54">
        <v>123491</v>
      </c>
      <c r="K130" s="54" t="s">
        <v>61</v>
      </c>
      <c r="L130" s="54" t="s">
        <v>8</v>
      </c>
      <c r="M130" s="54">
        <v>6</v>
      </c>
      <c r="N130" s="95">
        <v>0</v>
      </c>
      <c r="O130" s="78">
        <v>0</v>
      </c>
      <c r="P130" s="95">
        <v>26.7699</v>
      </c>
      <c r="Q130" s="77">
        <v>516.23009999999999</v>
      </c>
      <c r="R130" s="93">
        <v>516.23009999999999</v>
      </c>
    </row>
    <row r="131" spans="1:18" s="67" customFormat="1" x14ac:dyDescent="0.25">
      <c r="A131" s="74">
        <v>44214</v>
      </c>
      <c r="B131" s="23">
        <v>1004</v>
      </c>
      <c r="C131" s="23" t="s">
        <v>6</v>
      </c>
      <c r="D131" s="8">
        <v>2</v>
      </c>
      <c r="E131" s="30">
        <v>200</v>
      </c>
      <c r="F131" s="52">
        <f>Tabela3[[#This Row],[Valor Unitário]]*Tabela3[[#This Row],[Quantidade]]</f>
        <v>400</v>
      </c>
      <c r="G131" s="52">
        <f>VLOOKUP(Tabela3[[#This Row],[Código]],Cadastro_Produto!B:D,3,0)</f>
        <v>99.5</v>
      </c>
      <c r="H131" s="52">
        <f>Tabela3[[#This Row],[Custo unitário]]*Tabela3[[#This Row],[Quantidade]]</f>
        <v>199</v>
      </c>
      <c r="I131" s="95">
        <f>Tabela3[[#This Row],[Valor total]]-Tabela3[[#This Row],[Custo total]]</f>
        <v>201</v>
      </c>
      <c r="J131" s="54">
        <v>123491</v>
      </c>
      <c r="K131" s="54" t="s">
        <v>61</v>
      </c>
      <c r="L131" s="54" t="s">
        <v>8</v>
      </c>
      <c r="M131" s="54">
        <v>6</v>
      </c>
      <c r="N131" s="95">
        <v>0</v>
      </c>
      <c r="O131" s="78">
        <v>0</v>
      </c>
      <c r="P131" s="95">
        <v>19.72</v>
      </c>
      <c r="Q131" s="77">
        <v>380.28</v>
      </c>
      <c r="R131" s="93">
        <v>380.28</v>
      </c>
    </row>
    <row r="132" spans="1:18" s="67" customFormat="1" x14ac:dyDescent="0.25">
      <c r="A132" s="74">
        <v>44214</v>
      </c>
      <c r="B132" s="23">
        <v>1005</v>
      </c>
      <c r="C132" s="23" t="s">
        <v>34</v>
      </c>
      <c r="D132" s="8">
        <v>2</v>
      </c>
      <c r="E132" s="30">
        <v>191</v>
      </c>
      <c r="F132" s="52">
        <f>Tabela3[[#This Row],[Valor Unitário]]*Tabela3[[#This Row],[Quantidade]]</f>
        <v>382</v>
      </c>
      <c r="G132" s="52">
        <f>VLOOKUP(Tabela3[[#This Row],[Código]],Cadastro_Produto!B:D,3,0)</f>
        <v>91.5</v>
      </c>
      <c r="H132" s="52">
        <f>Tabela3[[#This Row],[Custo unitário]]*Tabela3[[#This Row],[Quantidade]]</f>
        <v>183</v>
      </c>
      <c r="I132" s="95">
        <f>Tabela3[[#This Row],[Valor total]]-Tabela3[[#This Row],[Custo total]]</f>
        <v>199</v>
      </c>
      <c r="J132" s="54">
        <v>123491</v>
      </c>
      <c r="K132" s="54" t="s">
        <v>61</v>
      </c>
      <c r="L132" s="54" t="s">
        <v>8</v>
      </c>
      <c r="M132" s="54"/>
      <c r="N132" s="95">
        <v>0</v>
      </c>
      <c r="O132" s="78">
        <v>0</v>
      </c>
      <c r="P132" s="95">
        <v>18.832599999999999</v>
      </c>
      <c r="Q132" s="77">
        <v>363.16739999999999</v>
      </c>
      <c r="R132" s="93">
        <v>363.16739999999999</v>
      </c>
    </row>
    <row r="133" spans="1:18" s="67" customFormat="1" x14ac:dyDescent="0.25">
      <c r="A133" s="74">
        <v>44206</v>
      </c>
      <c r="B133" s="23">
        <v>1006</v>
      </c>
      <c r="C133" s="23" t="s">
        <v>35</v>
      </c>
      <c r="D133" s="8">
        <v>2</v>
      </c>
      <c r="E133" s="30">
        <v>50</v>
      </c>
      <c r="F133" s="52">
        <f>Tabela3[[#This Row],[Valor Unitário]]*Tabela3[[#This Row],[Quantidade]]</f>
        <v>100</v>
      </c>
      <c r="G133" s="52">
        <f>VLOOKUP(Tabela3[[#This Row],[Código]],Cadastro_Produto!B:D,3,0)</f>
        <v>35.5</v>
      </c>
      <c r="H133" s="52">
        <f>Tabela3[[#This Row],[Custo unitário]]*Tabela3[[#This Row],[Quantidade]]</f>
        <v>71</v>
      </c>
      <c r="I133" s="95">
        <f>Tabela3[[#This Row],[Valor total]]-Tabela3[[#This Row],[Custo total]]</f>
        <v>29</v>
      </c>
      <c r="J133" s="54">
        <v>123490</v>
      </c>
      <c r="K133" s="54" t="s">
        <v>62</v>
      </c>
      <c r="L133" s="54" t="s">
        <v>75</v>
      </c>
      <c r="M133" s="54"/>
      <c r="N133" s="95">
        <v>1.9900000000000002</v>
      </c>
      <c r="O133" s="78">
        <v>98.01</v>
      </c>
      <c r="P133" s="95">
        <v>0</v>
      </c>
      <c r="Q133" s="77">
        <v>0</v>
      </c>
      <c r="R133" s="93">
        <v>98.01</v>
      </c>
    </row>
    <row r="134" spans="1:18" s="67" customFormat="1" x14ac:dyDescent="0.25">
      <c r="A134" s="74">
        <v>44206</v>
      </c>
      <c r="B134" s="23">
        <v>1005</v>
      </c>
      <c r="C134" s="23" t="s">
        <v>34</v>
      </c>
      <c r="D134" s="8">
        <v>1</v>
      </c>
      <c r="E134" s="30">
        <v>181</v>
      </c>
      <c r="F134" s="52">
        <f>Tabela3[[#This Row],[Valor Unitário]]*Tabela3[[#This Row],[Quantidade]]</f>
        <v>181</v>
      </c>
      <c r="G134" s="52">
        <f>VLOOKUP(Tabela3[[#This Row],[Código]],Cadastro_Produto!B:D,3,0)</f>
        <v>91.5</v>
      </c>
      <c r="H134" s="52">
        <f>Tabela3[[#This Row],[Custo unitário]]*Tabela3[[#This Row],[Quantidade]]</f>
        <v>91.5</v>
      </c>
      <c r="I134" s="95">
        <f>Tabela3[[#This Row],[Valor total]]-Tabela3[[#This Row],[Custo total]]</f>
        <v>89.5</v>
      </c>
      <c r="J134" s="54">
        <v>123490</v>
      </c>
      <c r="K134" s="54" t="s">
        <v>62</v>
      </c>
      <c r="L134" s="54" t="s">
        <v>75</v>
      </c>
      <c r="M134" s="54"/>
      <c r="N134" s="95">
        <v>3.6019000000000001</v>
      </c>
      <c r="O134" s="78">
        <v>177.3981</v>
      </c>
      <c r="P134" s="95">
        <v>0</v>
      </c>
      <c r="Q134" s="77">
        <v>0</v>
      </c>
      <c r="R134" s="93">
        <v>177.3981</v>
      </c>
    </row>
    <row r="135" spans="1:18" s="67" customFormat="1" x14ac:dyDescent="0.25">
      <c r="A135" s="74">
        <v>44206</v>
      </c>
      <c r="B135" s="23">
        <v>1007</v>
      </c>
      <c r="C135" s="23" t="s">
        <v>37</v>
      </c>
      <c r="D135" s="8">
        <v>3</v>
      </c>
      <c r="E135" s="30">
        <v>80</v>
      </c>
      <c r="F135" s="52">
        <f>Tabela3[[#This Row],[Valor Unitário]]*Tabela3[[#This Row],[Quantidade]]</f>
        <v>240</v>
      </c>
      <c r="G135" s="52">
        <f>VLOOKUP(Tabela3[[#This Row],[Código]],Cadastro_Produto!B:D,3,0)</f>
        <v>29.9</v>
      </c>
      <c r="H135" s="52">
        <f>Tabela3[[#This Row],[Custo unitário]]*Tabela3[[#This Row],[Quantidade]]</f>
        <v>89.699999999999989</v>
      </c>
      <c r="I135" s="95">
        <f>Tabela3[[#This Row],[Valor total]]-Tabela3[[#This Row],[Custo total]]</f>
        <v>150.30000000000001</v>
      </c>
      <c r="J135" s="54">
        <v>123490</v>
      </c>
      <c r="K135" s="54" t="s">
        <v>62</v>
      </c>
      <c r="L135" s="54" t="s">
        <v>75</v>
      </c>
      <c r="M135" s="54"/>
      <c r="N135" s="95">
        <v>4.7759999999999998</v>
      </c>
      <c r="O135" s="78">
        <v>235.22399999999999</v>
      </c>
      <c r="P135" s="95">
        <v>0</v>
      </c>
      <c r="Q135" s="77">
        <v>0</v>
      </c>
      <c r="R135" s="93">
        <v>235.22399999999999</v>
      </c>
    </row>
    <row r="136" spans="1:18" s="67" customFormat="1" x14ac:dyDescent="0.25">
      <c r="A136" s="74">
        <v>44206</v>
      </c>
      <c r="B136" s="23" t="e">
        <v>#N/A</v>
      </c>
      <c r="C136" s="23"/>
      <c r="D136" s="8"/>
      <c r="E136" s="30"/>
      <c r="F136" s="52">
        <f>Tabela3[[#This Row],[Valor Unitário]]*Tabela3[[#This Row],[Quantidade]]</f>
        <v>0</v>
      </c>
      <c r="G136" s="52" t="e">
        <f>VLOOKUP(Tabela3[[#This Row],[Código]],Cadastro_Produto!B:D,3,0)</f>
        <v>#N/A</v>
      </c>
      <c r="H136" s="52" t="e">
        <f>Tabela3[[#This Row],[Custo unitário]]*Tabela3[[#This Row],[Quantidade]]</f>
        <v>#N/A</v>
      </c>
      <c r="I136" s="95" t="e">
        <f>Tabela3[[#This Row],[Valor total]]-Tabela3[[#This Row],[Custo total]]</f>
        <v>#N/A</v>
      </c>
      <c r="J136" s="54">
        <v>123490</v>
      </c>
      <c r="K136" s="54" t="s">
        <v>62</v>
      </c>
      <c r="L136" s="54" t="s">
        <v>75</v>
      </c>
      <c r="M136" s="54"/>
      <c r="N136" s="95">
        <v>0</v>
      </c>
      <c r="O136" s="78">
        <v>0</v>
      </c>
      <c r="P136" s="95">
        <v>0</v>
      </c>
      <c r="Q136" s="77">
        <v>0</v>
      </c>
      <c r="R136" s="93">
        <v>0</v>
      </c>
    </row>
    <row r="137" spans="1:18" s="67" customFormat="1" x14ac:dyDescent="0.25">
      <c r="A137" s="74">
        <v>44206</v>
      </c>
      <c r="B137" s="23" t="e">
        <v>#N/A</v>
      </c>
      <c r="C137" s="23"/>
      <c r="D137" s="8"/>
      <c r="E137" s="30"/>
      <c r="F137" s="52">
        <f>Tabela3[[#This Row],[Valor Unitário]]*Tabela3[[#This Row],[Quantidade]]</f>
        <v>0</v>
      </c>
      <c r="G137" s="52" t="e">
        <f>VLOOKUP(Tabela3[[#This Row],[Código]],Cadastro_Produto!B:D,3,0)</f>
        <v>#N/A</v>
      </c>
      <c r="H137" s="52" t="e">
        <f>Tabela3[[#This Row],[Custo unitário]]*Tabela3[[#This Row],[Quantidade]]</f>
        <v>#N/A</v>
      </c>
      <c r="I137" s="95" t="e">
        <f>Tabela3[[#This Row],[Valor total]]-Tabela3[[#This Row],[Custo total]]</f>
        <v>#N/A</v>
      </c>
      <c r="J137" s="54">
        <v>123490</v>
      </c>
      <c r="K137" s="54" t="s">
        <v>62</v>
      </c>
      <c r="L137" s="54" t="s">
        <v>75</v>
      </c>
      <c r="M137" s="54"/>
      <c r="N137" s="95">
        <v>0</v>
      </c>
      <c r="O137" s="78">
        <v>0</v>
      </c>
      <c r="P137" s="95">
        <v>0</v>
      </c>
      <c r="Q137" s="77">
        <v>0</v>
      </c>
      <c r="R137" s="93">
        <v>0</v>
      </c>
    </row>
    <row r="138" spans="1:18" s="67" customFormat="1" x14ac:dyDescent="0.25">
      <c r="A138" s="74">
        <v>44197</v>
      </c>
      <c r="B138" s="23">
        <v>1007</v>
      </c>
      <c r="C138" s="23" t="s">
        <v>37</v>
      </c>
      <c r="D138" s="8">
        <v>1</v>
      </c>
      <c r="E138" s="30">
        <v>65</v>
      </c>
      <c r="F138" s="52">
        <f>Tabela3[[#This Row],[Valor Unitário]]*Tabela3[[#This Row],[Quantidade]]</f>
        <v>65</v>
      </c>
      <c r="G138" s="52">
        <f>VLOOKUP(Tabela3[[#This Row],[Código]],Cadastro_Produto!B:D,3,0)</f>
        <v>29.9</v>
      </c>
      <c r="H138" s="52">
        <f>Tabela3[[#This Row],[Custo unitário]]*Tabela3[[#This Row],[Quantidade]]</f>
        <v>29.9</v>
      </c>
      <c r="I138" s="95">
        <f>Tabela3[[#This Row],[Valor total]]-Tabela3[[#This Row],[Custo total]]</f>
        <v>35.1</v>
      </c>
      <c r="J138" s="54">
        <v>123489</v>
      </c>
      <c r="K138" s="54" t="s">
        <v>7</v>
      </c>
      <c r="L138" s="54" t="s">
        <v>75</v>
      </c>
      <c r="M138" s="54"/>
      <c r="N138" s="95">
        <v>0</v>
      </c>
      <c r="O138" s="78">
        <v>0</v>
      </c>
      <c r="P138" s="95">
        <v>0</v>
      </c>
      <c r="Q138" s="77">
        <v>0</v>
      </c>
      <c r="R138" s="93">
        <v>65</v>
      </c>
    </row>
    <row r="139" spans="1:18" s="67" customFormat="1" x14ac:dyDescent="0.25">
      <c r="A139" s="74">
        <v>44197</v>
      </c>
      <c r="B139" s="23">
        <v>1009</v>
      </c>
      <c r="C139" s="23" t="s">
        <v>40</v>
      </c>
      <c r="D139" s="8">
        <v>1</v>
      </c>
      <c r="E139" s="30">
        <v>55</v>
      </c>
      <c r="F139" s="52">
        <f>Tabela3[[#This Row],[Valor Unitário]]*Tabela3[[#This Row],[Quantidade]]</f>
        <v>55</v>
      </c>
      <c r="G139" s="52">
        <f>VLOOKUP(Tabela3[[#This Row],[Código]],Cadastro_Produto!B:D,3,0)</f>
        <v>38.9</v>
      </c>
      <c r="H139" s="52">
        <f>Tabela3[[#This Row],[Custo unitário]]*Tabela3[[#This Row],[Quantidade]]</f>
        <v>38.9</v>
      </c>
      <c r="I139" s="95">
        <f>Tabela3[[#This Row],[Valor total]]-Tabela3[[#This Row],[Custo total]]</f>
        <v>16.100000000000001</v>
      </c>
      <c r="J139" s="54">
        <v>123489</v>
      </c>
      <c r="K139" s="54" t="s">
        <v>7</v>
      </c>
      <c r="L139" s="54" t="s">
        <v>75</v>
      </c>
      <c r="M139" s="54"/>
      <c r="N139" s="95">
        <v>0</v>
      </c>
      <c r="O139" s="78">
        <v>0</v>
      </c>
      <c r="P139" s="95">
        <v>0</v>
      </c>
      <c r="Q139" s="77">
        <v>55</v>
      </c>
      <c r="R139" s="93">
        <v>55</v>
      </c>
    </row>
    <row r="140" spans="1:18" s="67" customFormat="1" x14ac:dyDescent="0.25">
      <c r="A140" s="74">
        <v>44197</v>
      </c>
      <c r="B140" s="23" t="e">
        <v>#N/A</v>
      </c>
      <c r="C140" s="23"/>
      <c r="D140" s="8"/>
      <c r="E140" s="30"/>
      <c r="F140" s="52">
        <f>Tabela3[[#This Row],[Valor Unitário]]*Tabela3[[#This Row],[Quantidade]]</f>
        <v>0</v>
      </c>
      <c r="G140" s="52" t="e">
        <f>VLOOKUP(Tabela3[[#This Row],[Código]],Cadastro_Produto!B:D,3,0)</f>
        <v>#N/A</v>
      </c>
      <c r="H140" s="52" t="e">
        <f>Tabela3[[#This Row],[Custo unitário]]*Tabela3[[#This Row],[Quantidade]]</f>
        <v>#N/A</v>
      </c>
      <c r="I140" s="95" t="e">
        <f>Tabela3[[#This Row],[Valor total]]-Tabela3[[#This Row],[Custo total]]</f>
        <v>#N/A</v>
      </c>
      <c r="J140" s="54">
        <v>123489</v>
      </c>
      <c r="K140" s="54" t="s">
        <v>7</v>
      </c>
      <c r="L140" s="54" t="s">
        <v>75</v>
      </c>
      <c r="M140" s="54"/>
      <c r="N140" s="95">
        <v>0</v>
      </c>
      <c r="O140" s="78">
        <v>0</v>
      </c>
      <c r="P140" s="95">
        <v>0</v>
      </c>
      <c r="Q140" s="77">
        <v>0</v>
      </c>
      <c r="R140" s="93">
        <v>0</v>
      </c>
    </row>
    <row r="141" spans="1:18" s="67" customFormat="1" x14ac:dyDescent="0.25">
      <c r="A141" s="74">
        <v>44197</v>
      </c>
      <c r="B141" s="23" t="e">
        <v>#N/A</v>
      </c>
      <c r="C141" s="23"/>
      <c r="D141" s="8"/>
      <c r="E141" s="30"/>
      <c r="F141" s="52">
        <f>Tabela3[[#This Row],[Valor Unitário]]*Tabela3[[#This Row],[Quantidade]]</f>
        <v>0</v>
      </c>
      <c r="G141" s="52" t="e">
        <f>VLOOKUP(Tabela3[[#This Row],[Código]],Cadastro_Produto!B:D,3,0)</f>
        <v>#N/A</v>
      </c>
      <c r="H141" s="52" t="e">
        <f>Tabela3[[#This Row],[Custo unitário]]*Tabela3[[#This Row],[Quantidade]]</f>
        <v>#N/A</v>
      </c>
      <c r="I141" s="95" t="e">
        <f>Tabela3[[#This Row],[Valor total]]-Tabela3[[#This Row],[Custo total]]</f>
        <v>#N/A</v>
      </c>
      <c r="J141" s="54">
        <v>123489</v>
      </c>
      <c r="K141" s="54" t="s">
        <v>7</v>
      </c>
      <c r="L141" s="54" t="s">
        <v>75</v>
      </c>
      <c r="M141" s="54"/>
      <c r="N141" s="95">
        <v>0</v>
      </c>
      <c r="O141" s="78">
        <v>0</v>
      </c>
      <c r="P141" s="95">
        <v>0</v>
      </c>
      <c r="Q141" s="77">
        <v>0</v>
      </c>
      <c r="R141" s="93">
        <v>0</v>
      </c>
    </row>
    <row r="142" spans="1:18" s="67" customFormat="1" x14ac:dyDescent="0.25">
      <c r="A142" s="74">
        <v>44197</v>
      </c>
      <c r="B142" s="23" t="e">
        <v>#N/A</v>
      </c>
      <c r="C142" s="23"/>
      <c r="D142" s="8"/>
      <c r="E142" s="30"/>
      <c r="F142" s="52">
        <f>Tabela3[[#This Row],[Valor Unitário]]*Tabela3[[#This Row],[Quantidade]]</f>
        <v>0</v>
      </c>
      <c r="G142" s="52" t="e">
        <f>VLOOKUP(Tabela3[[#This Row],[Código]],Cadastro_Produto!B:D,3,0)</f>
        <v>#N/A</v>
      </c>
      <c r="H142" s="52" t="e">
        <f>Tabela3[[#This Row],[Custo unitário]]*Tabela3[[#This Row],[Quantidade]]</f>
        <v>#N/A</v>
      </c>
      <c r="I142" s="95" t="e">
        <f>Tabela3[[#This Row],[Valor total]]-Tabela3[[#This Row],[Custo total]]</f>
        <v>#N/A</v>
      </c>
      <c r="J142" s="54">
        <v>123489</v>
      </c>
      <c r="K142" s="54" t="s">
        <v>7</v>
      </c>
      <c r="L142" s="54" t="s">
        <v>75</v>
      </c>
      <c r="M142" s="54"/>
      <c r="N142" s="95">
        <v>0</v>
      </c>
      <c r="O142" s="78">
        <v>0</v>
      </c>
      <c r="P142" s="95">
        <v>0</v>
      </c>
      <c r="Q142" s="77">
        <v>0</v>
      </c>
      <c r="R142" s="93">
        <v>0</v>
      </c>
    </row>
    <row r="143" spans="1:18" s="67" customFormat="1" x14ac:dyDescent="0.25">
      <c r="A143" s="74">
        <v>44197</v>
      </c>
      <c r="B143" s="23">
        <v>1005</v>
      </c>
      <c r="C143" s="23" t="s">
        <v>34</v>
      </c>
      <c r="D143" s="8">
        <v>1</v>
      </c>
      <c r="E143" s="30">
        <v>190</v>
      </c>
      <c r="F143" s="52">
        <f>Tabela3[[#This Row],[Valor Unitário]]*Tabela3[[#This Row],[Quantidade]]</f>
        <v>190</v>
      </c>
      <c r="G143" s="52">
        <f>VLOOKUP(Tabela3[[#This Row],[Código]],Cadastro_Produto!B:D,3,0)</f>
        <v>91.5</v>
      </c>
      <c r="H143" s="52">
        <f>Tabela3[[#This Row],[Custo unitário]]*Tabela3[[#This Row],[Quantidade]]</f>
        <v>91.5</v>
      </c>
      <c r="I143" s="95">
        <f>Tabela3[[#This Row],[Valor total]]-Tabela3[[#This Row],[Custo total]]</f>
        <v>98.5</v>
      </c>
      <c r="J143" s="54">
        <v>123488</v>
      </c>
      <c r="K143" s="54" t="s">
        <v>62</v>
      </c>
      <c r="L143" s="54" t="s">
        <v>75</v>
      </c>
      <c r="M143" s="54"/>
      <c r="N143" s="95">
        <v>3.7810000000000001</v>
      </c>
      <c r="O143" s="78">
        <v>186.21899999999999</v>
      </c>
      <c r="P143" s="95">
        <v>0</v>
      </c>
      <c r="Q143" s="77">
        <v>0</v>
      </c>
      <c r="R143" s="93">
        <v>186.21899999999999</v>
      </c>
    </row>
    <row r="144" spans="1:18" s="67" customFormat="1" x14ac:dyDescent="0.25">
      <c r="A144" s="74">
        <v>44197</v>
      </c>
      <c r="B144" s="23">
        <v>1007</v>
      </c>
      <c r="C144" s="23" t="s">
        <v>37</v>
      </c>
      <c r="D144" s="8">
        <v>1</v>
      </c>
      <c r="E144" s="30">
        <v>50</v>
      </c>
      <c r="F144" s="52">
        <f>Tabela3[[#This Row],[Valor Unitário]]*Tabela3[[#This Row],[Quantidade]]</f>
        <v>50</v>
      </c>
      <c r="G144" s="52">
        <f>VLOOKUP(Tabela3[[#This Row],[Código]],Cadastro_Produto!B:D,3,0)</f>
        <v>29.9</v>
      </c>
      <c r="H144" s="52">
        <f>Tabela3[[#This Row],[Custo unitário]]*Tabela3[[#This Row],[Quantidade]]</f>
        <v>29.9</v>
      </c>
      <c r="I144" s="95">
        <f>Tabela3[[#This Row],[Valor total]]-Tabela3[[#This Row],[Custo total]]</f>
        <v>20.100000000000001</v>
      </c>
      <c r="J144" s="54">
        <v>123488</v>
      </c>
      <c r="K144" s="54" t="s">
        <v>62</v>
      </c>
      <c r="L144" s="54" t="s">
        <v>75</v>
      </c>
      <c r="M144" s="54"/>
      <c r="N144" s="95">
        <v>0.99500000000000011</v>
      </c>
      <c r="O144" s="78">
        <v>49.005000000000003</v>
      </c>
      <c r="P144" s="95">
        <v>0</v>
      </c>
      <c r="Q144" s="77">
        <v>50</v>
      </c>
      <c r="R144" s="93">
        <v>49.005000000000003</v>
      </c>
    </row>
    <row r="145" spans="1:18" s="67" customFormat="1" x14ac:dyDescent="0.25">
      <c r="A145" s="74">
        <v>44197</v>
      </c>
      <c r="B145" s="23">
        <v>1010</v>
      </c>
      <c r="C145" s="23" t="s">
        <v>41</v>
      </c>
      <c r="D145" s="8">
        <v>1</v>
      </c>
      <c r="E145" s="30">
        <v>50</v>
      </c>
      <c r="F145" s="52">
        <f>Tabela3[[#This Row],[Valor Unitário]]*Tabela3[[#This Row],[Quantidade]]</f>
        <v>50</v>
      </c>
      <c r="G145" s="52">
        <f>VLOOKUP(Tabela3[[#This Row],[Código]],Cadastro_Produto!B:D,3,0)</f>
        <v>18.899999999999999</v>
      </c>
      <c r="H145" s="52">
        <f>Tabela3[[#This Row],[Custo unitário]]*Tabela3[[#This Row],[Quantidade]]</f>
        <v>18.899999999999999</v>
      </c>
      <c r="I145" s="95">
        <f>Tabela3[[#This Row],[Valor total]]-Tabela3[[#This Row],[Custo total]]</f>
        <v>31.1</v>
      </c>
      <c r="J145" s="54">
        <v>123488</v>
      </c>
      <c r="K145" s="54" t="s">
        <v>62</v>
      </c>
      <c r="L145" s="54" t="s">
        <v>75</v>
      </c>
      <c r="M145" s="54"/>
      <c r="N145" s="95">
        <v>0.99500000000000011</v>
      </c>
      <c r="O145" s="78">
        <v>49.005000000000003</v>
      </c>
      <c r="P145" s="95">
        <v>0</v>
      </c>
      <c r="Q145" s="77">
        <v>50</v>
      </c>
      <c r="R145" s="93">
        <v>49.005000000000003</v>
      </c>
    </row>
    <row r="146" spans="1:18" s="67" customFormat="1" x14ac:dyDescent="0.25">
      <c r="A146" s="74">
        <v>44197</v>
      </c>
      <c r="B146" s="23">
        <v>1009</v>
      </c>
      <c r="C146" s="23" t="s">
        <v>40</v>
      </c>
      <c r="D146" s="8">
        <v>1</v>
      </c>
      <c r="E146" s="30">
        <v>50</v>
      </c>
      <c r="F146" s="52">
        <f>Tabela3[[#This Row],[Valor Unitário]]*Tabela3[[#This Row],[Quantidade]]</f>
        <v>50</v>
      </c>
      <c r="G146" s="52">
        <f>VLOOKUP(Tabela3[[#This Row],[Código]],Cadastro_Produto!B:D,3,0)</f>
        <v>38.9</v>
      </c>
      <c r="H146" s="52">
        <f>Tabela3[[#This Row],[Custo unitário]]*Tabela3[[#This Row],[Quantidade]]</f>
        <v>38.9</v>
      </c>
      <c r="I146" s="95">
        <f>Tabela3[[#This Row],[Valor total]]-Tabela3[[#This Row],[Custo total]]</f>
        <v>11.100000000000001</v>
      </c>
      <c r="J146" s="54">
        <v>123488</v>
      </c>
      <c r="K146" s="54" t="s">
        <v>62</v>
      </c>
      <c r="L146" s="54" t="s">
        <v>75</v>
      </c>
      <c r="M146" s="54"/>
      <c r="N146" s="95">
        <v>0.99500000000000011</v>
      </c>
      <c r="O146" s="78">
        <v>49.005000000000003</v>
      </c>
      <c r="P146" s="95">
        <v>0</v>
      </c>
      <c r="Q146" s="77">
        <v>50</v>
      </c>
      <c r="R146" s="93">
        <v>49.005000000000003</v>
      </c>
    </row>
    <row r="147" spans="1:18" s="67" customFormat="1" x14ac:dyDescent="0.25">
      <c r="A147" s="74">
        <v>44197</v>
      </c>
      <c r="B147" s="23">
        <v>1008</v>
      </c>
      <c r="C147" s="23" t="s">
        <v>38</v>
      </c>
      <c r="D147" s="8">
        <v>1</v>
      </c>
      <c r="E147" s="30">
        <v>50</v>
      </c>
      <c r="F147" s="52">
        <f>Tabela3[[#This Row],[Valor Unitário]]*Tabela3[[#This Row],[Quantidade]]</f>
        <v>50</v>
      </c>
      <c r="G147" s="52">
        <f>VLOOKUP(Tabela3[[#This Row],[Código]],Cadastro_Produto!B:D,3,0)</f>
        <v>32.9</v>
      </c>
      <c r="H147" s="52">
        <f>Tabela3[[#This Row],[Custo unitário]]*Tabela3[[#This Row],[Quantidade]]</f>
        <v>32.9</v>
      </c>
      <c r="I147" s="95">
        <f>Tabela3[[#This Row],[Valor total]]-Tabela3[[#This Row],[Custo total]]</f>
        <v>17.100000000000001</v>
      </c>
      <c r="J147" s="54">
        <v>123488</v>
      </c>
      <c r="K147" s="54" t="s">
        <v>62</v>
      </c>
      <c r="L147" s="54" t="s">
        <v>75</v>
      </c>
      <c r="M147" s="54"/>
      <c r="N147" s="95">
        <v>0.99500000000000011</v>
      </c>
      <c r="O147" s="78">
        <v>49.005000000000003</v>
      </c>
      <c r="P147" s="95">
        <v>0</v>
      </c>
      <c r="Q147" s="77">
        <v>50</v>
      </c>
      <c r="R147" s="93">
        <v>49.005000000000003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Menu</vt:lpstr>
      <vt:lpstr>Dashboard</vt:lpstr>
      <vt:lpstr>Nova dinâmica</vt:lpstr>
      <vt:lpstr>Entrada</vt:lpstr>
      <vt:lpstr>Saida</vt:lpstr>
      <vt:lpstr>Cadastro_venda</vt:lpstr>
      <vt:lpstr>Cadprodut</vt:lpstr>
      <vt:lpstr>Ent_Estoque</vt:lpstr>
      <vt:lpstr>Sai_Estoque</vt:lpstr>
      <vt:lpstr>Cadastro_Produto</vt:lpstr>
      <vt:lpstr>Estoque</vt:lpstr>
      <vt:lpstr>Base_Vendas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Adones</dc:creator>
  <cp:lastModifiedBy>Adones</cp:lastModifiedBy>
  <dcterms:created xsi:type="dcterms:W3CDTF">2021-01-22T00:43:38Z</dcterms:created>
  <dcterms:modified xsi:type="dcterms:W3CDTF">2021-03-21T00:29:41Z</dcterms:modified>
</cp:coreProperties>
</file>